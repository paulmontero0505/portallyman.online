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/Users/david/Desktop/Tally 2026/Evaluacion de Desempeño/EVADES  2026 -2/"/>
    </mc:Choice>
  </mc:AlternateContent>
  <xr:revisionPtr revIDLastSave="114" documentId="8_{2E018622-E2FF-9345-BAA1-76AE67B7DB71}" xr6:coauthVersionLast="47" xr6:coauthVersionMax="47" xr10:uidLastSave="{75E23A5C-91A7-4862-8081-3901F965AA65}"/>
  <bookViews>
    <workbookView xWindow="0" yWindow="600" windowWidth="28160" windowHeight="15360" xr2:uid="{00000000-000D-0000-FFFF-FFFF00000000}"/>
  </bookViews>
  <sheets>
    <sheet name="Registro de Evaluaciones" sheetId="1" r:id="rId1"/>
    <sheet name="Instrucciones" sheetId="2" r:id="rId2"/>
  </sheets>
  <definedNames>
    <definedName name="_xlnm._FilterDatabase" localSheetId="0" hidden="1">'Registro de Evaluaciones'!$A$3:$H$75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5" i="1" l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<sst xmlns="http://schemas.openxmlformats.org/spreadsheetml/2006/main" count="329" uniqueCount="123">
  <si>
    <t>REGISTRO MAESTRO DE EVALUACIONES DE DESEMPEÑO 2026</t>
  </si>
  <si>
    <t>CÓDIGO</t>
  </si>
  <si>
    <t>NOMBRES COMPLETOS</t>
  </si>
  <si>
    <t>CARGO</t>
  </si>
  <si>
    <t>COORDINADOR</t>
  </si>
  <si>
    <t>PUNTAJE 2026-I (Anterior)</t>
  </si>
  <si>
    <t>CLASIFICACIÓN 2026-I</t>
  </si>
  <si>
    <t>PUNTAJE 2026-II (Nuevo)</t>
  </si>
  <si>
    <t>VARIACIÓN %</t>
  </si>
  <si>
    <t xml:space="preserve">RIOS GALAN CIELO ARACELI </t>
  </si>
  <si>
    <t>ANALISTA TROUBLE DESK</t>
  </si>
  <si>
    <t>Jennifer</t>
  </si>
  <si>
    <t>Sobresaliente</t>
  </si>
  <si>
    <t>MARTINEZ MELENDEZ MARTIN ALFONSO</t>
  </si>
  <si>
    <t>Fanny</t>
  </si>
  <si>
    <t xml:space="preserve">REYNA LEON MARIA FERNANDA </t>
  </si>
  <si>
    <t>ASISTENTE DE ESTIBA</t>
  </si>
  <si>
    <t>CHAVEZ DELGADO GUSTAVO ADOLFO</t>
  </si>
  <si>
    <t>Evelyn</t>
  </si>
  <si>
    <t>Sobre lo esperado</t>
  </si>
  <si>
    <t>CRUZ PAREDES ALEJANDRA GIANELLA</t>
  </si>
  <si>
    <t>TORRES SANTOS ASTRID DE FATIMA</t>
  </si>
  <si>
    <t>CARRASCO PEREZ  LUIS MIGUEL</t>
  </si>
  <si>
    <t>CABANILLAS QUIÑONES LUIS FERNANDO</t>
  </si>
  <si>
    <t>MONTERO REZABAL  PAUL REYNALDO</t>
  </si>
  <si>
    <t>RAMOS GARCIA JOSMERY GISELA</t>
  </si>
  <si>
    <t xml:space="preserve">MEJIA OBREGON SILVANA GABRIELA </t>
  </si>
  <si>
    <t>Grecia</t>
  </si>
  <si>
    <t>SIVERIO CHERRES JAIR AMIR</t>
  </si>
  <si>
    <t>BARROSO OSORIO ANGIE SULU</t>
  </si>
  <si>
    <t>ANAYA SOLORZANO ANGELLO GUISSEPE</t>
  </si>
  <si>
    <t>DM</t>
  </si>
  <si>
    <t>HIDALGO LEON VANESA</t>
  </si>
  <si>
    <t>PALOMINO PARDO ASHLEY JENNIFER</t>
  </si>
  <si>
    <t>RUCANA TINEO LOURDES REGINA</t>
  </si>
  <si>
    <t>MUÑOZ CANALES JOMAIRA JAZMIN</t>
  </si>
  <si>
    <t>CASTAÑEDA VALVERDE ELIZABETH ANGELICA</t>
  </si>
  <si>
    <t>CONCEPCION OBREGON ALDO JESUS</t>
  </si>
  <si>
    <t>TORRES RICHARTE JOSE EDUARDO</t>
  </si>
  <si>
    <t>AGUIRRE SALAZAR JUAN JOSE</t>
  </si>
  <si>
    <t>En lo esperado</t>
  </si>
  <si>
    <t>AGURTO OLIVOS NORLYS ESTEFANO</t>
  </si>
  <si>
    <t>GIRON MORA DANUSKA MARIA</t>
  </si>
  <si>
    <t>MARTINEZ RAMOS RONALD MARCELO</t>
  </si>
  <si>
    <t>BLAS CUEVA JEAN PIER ALEX</t>
  </si>
  <si>
    <t>DAVILA CESPEDES YANIRA MAYRA</t>
  </si>
  <si>
    <t>SALAS VEGA NOEMI DEL CARMEN</t>
  </si>
  <si>
    <t>GRADOS MORENO SHEYLA VANESSA</t>
  </si>
  <si>
    <t>JIMENEZ MEDINA CESAR ALCIDES</t>
  </si>
  <si>
    <t>MAGUIÑO SEVILLANO JHELSIN STEVEN</t>
  </si>
  <si>
    <t>ANGULO RAMOS CARLOS GIORDANO</t>
  </si>
  <si>
    <t>CUNZA CAMACHO JOSE LUIS</t>
  </si>
  <si>
    <t>DIAZ GONZALES MARIA FERNANDA</t>
  </si>
  <si>
    <t>OLIVERA JORGE JOSE EDUARDO</t>
  </si>
  <si>
    <t>URIBE PINEDA  BRUCE SINFOC</t>
  </si>
  <si>
    <t>RUIZ ALAYO CARMEN ANDREA</t>
  </si>
  <si>
    <t>CASTILLO CAPURRO GISELA VIRGINIA</t>
  </si>
  <si>
    <t>CHANGANAQUI QUISPE SANDRA YANIRETT</t>
  </si>
  <si>
    <t>DULANTO ANGULO ANGELO MIJAIL</t>
  </si>
  <si>
    <t>IZQUIERDO PRIETO FLORIAN FLAVIO</t>
  </si>
  <si>
    <t>REYES BELLO SHARON YOLANDA</t>
  </si>
  <si>
    <t>SOTELO SAENZ DARIANA NICOL</t>
  </si>
  <si>
    <t>VALLADARES AGUIRRE DOUGLAS ALEXANDER</t>
  </si>
  <si>
    <t>VASQUEZ MORA SHAUNNY MILAGROS</t>
  </si>
  <si>
    <t>APARCANA CORZO LEYDI ESMERALDA</t>
  </si>
  <si>
    <t>BONIFAZ MADRID CARLA YESELET</t>
  </si>
  <si>
    <t>MELGAREJO WU NAYELI PATRICIA</t>
  </si>
  <si>
    <t>COLLANTES SALVADOR FANNY LORENA</t>
  </si>
  <si>
    <t>ALCALDE CASTAÑEDA CARLOS ENRIQUE</t>
  </si>
  <si>
    <t>MUÑOZ PAREDES GLEN ALDAIR</t>
  </si>
  <si>
    <t>NARIO HERRERA EDGAR JORGE</t>
  </si>
  <si>
    <t>ALEJO SANTA MARIA KATHLIN JENNIFER</t>
  </si>
  <si>
    <t>BRAVO YUNCAR JULENG ROXANA</t>
  </si>
  <si>
    <t>CESADO</t>
  </si>
  <si>
    <t>LORA LEYVA NYLEEN MILENA</t>
  </si>
  <si>
    <t xml:space="preserve">MELGAREJO FALCON RUTH ISABEL </t>
  </si>
  <si>
    <t>OLORTEGUI ARELLAN NAYELI MEDALIT</t>
  </si>
  <si>
    <t>OCAÑA ALVINO KAREN SARAI</t>
  </si>
  <si>
    <t>SANCHEZ ROJAS LETICIA YANELA</t>
  </si>
  <si>
    <t>PAJUELO RAMIREZ JHON</t>
  </si>
  <si>
    <t>PAUCAR MEDINA JOSELYN CINTHIA</t>
  </si>
  <si>
    <t>VEGA DURAND VERENICE SARAI</t>
  </si>
  <si>
    <t>PALACIOS FUENTES  FRANK</t>
  </si>
  <si>
    <t>BAILON ACEVEDO NICOL TATIANA</t>
  </si>
  <si>
    <t>LEON INGA DYANA MEDALLYD</t>
  </si>
  <si>
    <t>SOLIS MALCA GABRIELA</t>
  </si>
  <si>
    <t>HUANCA OLORTEGUI CAROLAY CELESTE</t>
  </si>
  <si>
    <t>ALVA ARONI BRANDON EDGAR</t>
  </si>
  <si>
    <t>MELGAREJO AQUINO MILAGROS JUDITH</t>
  </si>
  <si>
    <t>Debajo de lo esperado</t>
  </si>
  <si>
    <t>JUIPA SEBASTIAN STHEFANIE SOLEDAD</t>
  </si>
  <si>
    <t>MENA VALDERRAMA GIANELA MILAGROS</t>
  </si>
  <si>
    <t>GUTIERREZ SALGUERO PAOLA ELIZABETH</t>
  </si>
  <si>
    <t>INSTRUCCIONES DE USO - EVALUACIONES DE DESEMPEÑO 2026</t>
  </si>
  <si>
    <t>1. DESCRIPCIÓN GENERAL</t>
  </si>
  <si>
    <t>Este archivo maestro centraliza el registro de todas las evaluaciones de desempeño para el año 2026.</t>
  </si>
  <si>
    <t>Permite un seguimiento comparativo con años anteriores y visualizar el progreso de cada colaborador.</t>
  </si>
  <si>
    <t>2. ARCHIVOS POR COORDINADOR</t>
  </si>
  <si>
    <t>Cada coordinador tiene su propio archivo individual con sus 18 colaboradores asignados:</t>
  </si>
  <si>
    <t xml:space="preserve">   • Evelyn.xlsx</t>
  </si>
  <si>
    <t xml:space="preserve">   • Fanny.xlsx</t>
  </si>
  <si>
    <t xml:space="preserve">   • Grecia.xlsx</t>
  </si>
  <si>
    <t xml:space="preserve">   • Jennifer.xlsx</t>
  </si>
  <si>
    <t>3. COLUMNAS DEL REGISTRO</t>
  </si>
  <si>
    <t xml:space="preserve">   Código: Número de identificación del colaborador</t>
  </si>
  <si>
    <t xml:space="preserve">   Nombres Completos: Nombre del evaluado</t>
  </si>
  <si>
    <t xml:space="preserve">   Cargo: Posición del colaborador</t>
  </si>
  <si>
    <t xml:space="preserve">   Coordinador: Evaluador responsable</t>
  </si>
  <si>
    <t xml:space="preserve">   Puntaje 2025: Ingresa el puntaje del año anterior (si existe)</t>
  </si>
  <si>
    <t xml:space="preserve">   Puntaje 2026-I (Anterior): Evaluación del primer semestre 2026</t>
  </si>
  <si>
    <t xml:space="preserve">   Puntaje 2026-II (Nuevo): Ingresa el nuevo puntaje evaluado</t>
  </si>
  <si>
    <t xml:space="preserve">   Variación %: Se calcula automáticamente</t>
  </si>
  <si>
    <t>4. ESCALA DE EVALUACIÓN</t>
  </si>
  <si>
    <t xml:space="preserve">   Debajo de lo esperado:  0 - 54 puntos</t>
  </si>
  <si>
    <t xml:space="preserve">   En lo esperado:        55 - 70 puntos</t>
  </si>
  <si>
    <t xml:space="preserve">   Sobre lo esperado:     71 - 80 puntos</t>
  </si>
  <si>
    <t xml:space="preserve">   Sobresaliente:         81 - 100 puntos</t>
  </si>
  <si>
    <t>5. MODELO DE EVALUACIÓN</t>
  </si>
  <si>
    <t>Cada archivo contiene el modelo completo con:</t>
  </si>
  <si>
    <t xml:space="preserve">   Sección A: 5 Competencias Conductuales (total /50)</t>
  </si>
  <si>
    <t xml:space="preserve">   Sección B: 5 Competencias Operativas (total /50)</t>
  </si>
  <si>
    <t xml:space="preserve">   Puntaje Total: /100</t>
  </si>
  <si>
    <t xml:space="preserve">   Retroalimentación: Fortalezas, aspectos a mejorar y plan de acción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</si>
</sst>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" fontId="3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5" fillId="4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75"/>
  <sheetViews>
    <sheetView tabSelected="1" workbookViewId="0">
      <selection activeCell="I78" sqref="I78"/>
    </sheetView>
  </sheetViews>
  <sheetFormatPr defaultColWidth="8.85546875" defaultRowHeight="15"/>
  <cols>
    <col min="1" max="1" width="10" customWidth="1"/>
    <col min="2" max="2" width="38.28515625" customWidth="1"/>
    <col min="3" max="3" width="22" customWidth="1"/>
    <col min="4" max="4" width="19.140625" customWidth="1"/>
    <col min="5" max="5" width="15.5703125" customWidth="1"/>
    <col min="6" max="7" width="19" customWidth="1"/>
    <col min="8" max="8" width="12" customWidth="1"/>
  </cols>
  <sheetData>
    <row r="1" spans="1:8" ht="24.95" customHeight="1">
      <c r="A1" s="14" t="s">
        <v>0</v>
      </c>
      <c r="B1" s="17"/>
      <c r="C1" s="17"/>
      <c r="D1" s="17"/>
      <c r="E1" s="17"/>
      <c r="F1" s="17"/>
      <c r="G1" s="17"/>
      <c r="H1" s="17"/>
    </row>
    <row r="2" spans="1:8" ht="3" customHeight="1"/>
    <row r="3" spans="1:8" ht="35.1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idden="1">
      <c r="A4" s="2">
        <v>748</v>
      </c>
      <c r="B4" s="3" t="s">
        <v>9</v>
      </c>
      <c r="C4" s="3" t="s">
        <v>10</v>
      </c>
      <c r="D4" s="3" t="s">
        <v>11</v>
      </c>
      <c r="E4" s="4">
        <v>82</v>
      </c>
      <c r="F4" s="5" t="s">
        <v>12</v>
      </c>
      <c r="G4" s="4">
        <v>74</v>
      </c>
      <c r="H4" s="6" t="str">
        <f t="shared" ref="H4:H35" si="0">IF(G4="","",IF(E4=0,"",TEXT((G4-E4)/E4,"0.0%")))</f>
        <v>-10%</v>
      </c>
    </row>
    <row r="5" spans="1:8" hidden="1">
      <c r="A5" s="2">
        <v>298</v>
      </c>
      <c r="B5" s="3" t="s">
        <v>13</v>
      </c>
      <c r="C5" s="3" t="s">
        <v>10</v>
      </c>
      <c r="D5" s="3" t="s">
        <v>14</v>
      </c>
      <c r="E5" s="4">
        <v>82</v>
      </c>
      <c r="F5" s="5" t="s">
        <v>12</v>
      </c>
      <c r="G5" s="4">
        <v>72</v>
      </c>
      <c r="H5" s="6" t="str">
        <f t="shared" si="0"/>
        <v>-12%</v>
      </c>
    </row>
    <row r="6" spans="1:8" hidden="1">
      <c r="A6" s="2">
        <v>744</v>
      </c>
      <c r="B6" s="3" t="s">
        <v>15</v>
      </c>
      <c r="C6" s="3" t="s">
        <v>16</v>
      </c>
      <c r="D6" s="3" t="s">
        <v>11</v>
      </c>
      <c r="E6" s="4">
        <v>82</v>
      </c>
      <c r="F6" s="5" t="s">
        <v>12</v>
      </c>
      <c r="G6" s="4">
        <v>72</v>
      </c>
      <c r="H6" s="6" t="str">
        <f t="shared" si="0"/>
        <v>-12%</v>
      </c>
    </row>
    <row r="7" spans="1:8" hidden="1">
      <c r="A7" s="2">
        <v>363</v>
      </c>
      <c r="B7" s="3" t="s">
        <v>17</v>
      </c>
      <c r="C7" s="3" t="s">
        <v>10</v>
      </c>
      <c r="D7" s="3" t="s">
        <v>18</v>
      </c>
      <c r="E7" s="4">
        <v>80</v>
      </c>
      <c r="F7" s="5" t="s">
        <v>19</v>
      </c>
      <c r="G7" s="4">
        <v>64</v>
      </c>
      <c r="H7" s="6" t="str">
        <f t="shared" si="0"/>
        <v>-20%</v>
      </c>
    </row>
    <row r="8" spans="1:8" hidden="1">
      <c r="A8" s="2">
        <v>337</v>
      </c>
      <c r="B8" s="3" t="s">
        <v>20</v>
      </c>
      <c r="C8" s="3" t="s">
        <v>10</v>
      </c>
      <c r="D8" s="3" t="s">
        <v>14</v>
      </c>
      <c r="E8" s="4">
        <v>76</v>
      </c>
      <c r="F8" s="5" t="s">
        <v>19</v>
      </c>
      <c r="G8" s="4">
        <v>76</v>
      </c>
      <c r="H8" s="6" t="str">
        <f t="shared" si="0"/>
        <v>00%</v>
      </c>
    </row>
    <row r="9" spans="1:8" hidden="1">
      <c r="A9" s="2">
        <v>658</v>
      </c>
      <c r="B9" s="3" t="s">
        <v>21</v>
      </c>
      <c r="C9" s="3" t="s">
        <v>16</v>
      </c>
      <c r="D9" s="3" t="s">
        <v>14</v>
      </c>
      <c r="E9" s="4">
        <v>74</v>
      </c>
      <c r="F9" s="5" t="s">
        <v>19</v>
      </c>
      <c r="G9" s="4">
        <v>72</v>
      </c>
      <c r="H9" s="6" t="str">
        <f t="shared" si="0"/>
        <v>-03%</v>
      </c>
    </row>
    <row r="10" spans="1:8" hidden="1">
      <c r="A10" s="2">
        <v>148</v>
      </c>
      <c r="B10" s="3" t="s">
        <v>22</v>
      </c>
      <c r="C10" s="3" t="s">
        <v>16</v>
      </c>
      <c r="D10" s="3" t="s">
        <v>18</v>
      </c>
      <c r="E10" s="4">
        <v>72</v>
      </c>
      <c r="F10" s="5" t="s">
        <v>19</v>
      </c>
      <c r="G10" s="4">
        <v>64</v>
      </c>
      <c r="H10" s="6" t="str">
        <f t="shared" si="0"/>
        <v>-11%</v>
      </c>
    </row>
    <row r="11" spans="1:8" hidden="1">
      <c r="A11" s="2">
        <v>351</v>
      </c>
      <c r="B11" s="3" t="s">
        <v>23</v>
      </c>
      <c r="C11" s="3" t="s">
        <v>16</v>
      </c>
      <c r="D11" s="3" t="s">
        <v>11</v>
      </c>
      <c r="E11" s="4">
        <v>70</v>
      </c>
      <c r="F11" s="5" t="s">
        <v>19</v>
      </c>
      <c r="G11" s="4">
        <v>72</v>
      </c>
      <c r="H11" s="6" t="str">
        <f t="shared" si="0"/>
        <v>03%</v>
      </c>
    </row>
    <row r="12" spans="1:8" hidden="1">
      <c r="A12" s="2">
        <v>158</v>
      </c>
      <c r="B12" s="3" t="s">
        <v>24</v>
      </c>
      <c r="C12" s="3" t="s">
        <v>16</v>
      </c>
      <c r="D12" s="3" t="s">
        <v>18</v>
      </c>
      <c r="E12" s="4">
        <v>70</v>
      </c>
      <c r="F12" s="5" t="s">
        <v>19</v>
      </c>
      <c r="G12" s="4">
        <v>64</v>
      </c>
      <c r="H12" s="6" t="str">
        <f t="shared" si="0"/>
        <v>-09%</v>
      </c>
    </row>
    <row r="13" spans="1:8" hidden="1">
      <c r="A13" s="2">
        <v>301</v>
      </c>
      <c r="B13" s="3" t="s">
        <v>25</v>
      </c>
      <c r="C13" s="3" t="s">
        <v>16</v>
      </c>
      <c r="D13" s="3" t="s">
        <v>14</v>
      </c>
      <c r="E13" s="4">
        <v>70</v>
      </c>
      <c r="F13" s="5" t="s">
        <v>19</v>
      </c>
      <c r="G13" s="4">
        <v>60</v>
      </c>
      <c r="H13" s="6" t="str">
        <f t="shared" si="0"/>
        <v>-14%</v>
      </c>
    </row>
    <row r="14" spans="1:8">
      <c r="A14" s="2">
        <v>747</v>
      </c>
      <c r="B14" s="3" t="s">
        <v>26</v>
      </c>
      <c r="C14" s="3" t="s">
        <v>16</v>
      </c>
      <c r="D14" s="3" t="s">
        <v>27</v>
      </c>
      <c r="E14" s="4">
        <v>68</v>
      </c>
      <c r="F14" s="5" t="s">
        <v>19</v>
      </c>
      <c r="G14" s="4">
        <v>64</v>
      </c>
      <c r="H14" s="6" t="str">
        <f t="shared" si="0"/>
        <v>-06%</v>
      </c>
    </row>
    <row r="15" spans="1:8" hidden="1">
      <c r="A15" s="2">
        <v>561</v>
      </c>
      <c r="B15" s="3" t="s">
        <v>28</v>
      </c>
      <c r="C15" s="3" t="s">
        <v>16</v>
      </c>
      <c r="D15" s="3" t="s">
        <v>14</v>
      </c>
      <c r="E15" s="4">
        <v>68</v>
      </c>
      <c r="F15" s="5" t="s">
        <v>19</v>
      </c>
      <c r="G15" s="4">
        <v>74</v>
      </c>
      <c r="H15" s="6" t="str">
        <f t="shared" si="0"/>
        <v>09%</v>
      </c>
    </row>
    <row r="16" spans="1:8" hidden="1">
      <c r="A16" s="2">
        <v>654</v>
      </c>
      <c r="B16" s="3" t="s">
        <v>29</v>
      </c>
      <c r="C16" s="3" t="s">
        <v>16</v>
      </c>
      <c r="D16" s="3" t="s">
        <v>14</v>
      </c>
      <c r="E16" s="4">
        <v>68</v>
      </c>
      <c r="F16" s="5" t="s">
        <v>19</v>
      </c>
      <c r="G16" s="4">
        <v>74</v>
      </c>
      <c r="H16" s="6" t="str">
        <f t="shared" si="0"/>
        <v>09%</v>
      </c>
    </row>
    <row r="17" spans="1:9" hidden="1">
      <c r="A17" s="8">
        <v>255</v>
      </c>
      <c r="B17" s="9" t="s">
        <v>30</v>
      </c>
      <c r="C17" s="9" t="s">
        <v>10</v>
      </c>
      <c r="D17" s="9" t="s">
        <v>11</v>
      </c>
      <c r="E17" s="10">
        <v>66</v>
      </c>
      <c r="F17" s="11" t="s">
        <v>19</v>
      </c>
      <c r="G17" s="10"/>
      <c r="H17" s="12" t="str">
        <f t="shared" si="0"/>
        <v/>
      </c>
      <c r="I17" s="13" t="s">
        <v>31</v>
      </c>
    </row>
    <row r="18" spans="1:9">
      <c r="A18" s="2">
        <v>302</v>
      </c>
      <c r="B18" s="3" t="s">
        <v>32</v>
      </c>
      <c r="C18" s="3" t="s">
        <v>10</v>
      </c>
      <c r="D18" s="3" t="s">
        <v>27</v>
      </c>
      <c r="E18" s="4">
        <v>66</v>
      </c>
      <c r="F18" s="5" t="s">
        <v>19</v>
      </c>
      <c r="G18" s="4">
        <v>68</v>
      </c>
      <c r="H18" s="6" t="str">
        <f t="shared" si="0"/>
        <v>03%</v>
      </c>
    </row>
    <row r="19" spans="1:9" hidden="1">
      <c r="A19" s="2">
        <v>580</v>
      </c>
      <c r="B19" s="3" t="s">
        <v>33</v>
      </c>
      <c r="C19" s="3" t="s">
        <v>16</v>
      </c>
      <c r="D19" s="3" t="s">
        <v>14</v>
      </c>
      <c r="E19" s="4">
        <v>66</v>
      </c>
      <c r="F19" s="5" t="s">
        <v>19</v>
      </c>
      <c r="G19" s="4">
        <v>68</v>
      </c>
      <c r="H19" s="6" t="str">
        <f t="shared" si="0"/>
        <v>03%</v>
      </c>
    </row>
    <row r="20" spans="1:9" hidden="1">
      <c r="A20" s="2">
        <v>388</v>
      </c>
      <c r="B20" s="3" t="s">
        <v>34</v>
      </c>
      <c r="C20" s="3" t="s">
        <v>10</v>
      </c>
      <c r="D20" s="3" t="s">
        <v>11</v>
      </c>
      <c r="E20" s="4">
        <v>64</v>
      </c>
      <c r="F20" s="5" t="s">
        <v>19</v>
      </c>
      <c r="G20" s="4">
        <v>74</v>
      </c>
      <c r="H20" s="6" t="str">
        <f t="shared" si="0"/>
        <v>16%</v>
      </c>
    </row>
    <row r="21" spans="1:9" hidden="1">
      <c r="A21" s="2">
        <v>276</v>
      </c>
      <c r="B21" s="3" t="s">
        <v>35</v>
      </c>
      <c r="C21" s="3" t="s">
        <v>16</v>
      </c>
      <c r="D21" s="3" t="s">
        <v>18</v>
      </c>
      <c r="E21" s="4">
        <v>64</v>
      </c>
      <c r="F21" s="5" t="s">
        <v>19</v>
      </c>
      <c r="G21" s="4">
        <v>72</v>
      </c>
      <c r="H21" s="6" t="str">
        <f t="shared" si="0"/>
        <v>13%</v>
      </c>
    </row>
    <row r="22" spans="1:9" hidden="1">
      <c r="A22" s="2">
        <v>579</v>
      </c>
      <c r="B22" s="3" t="s">
        <v>36</v>
      </c>
      <c r="C22" s="3" t="s">
        <v>16</v>
      </c>
      <c r="D22" s="3" t="s">
        <v>11</v>
      </c>
      <c r="E22" s="4">
        <v>64</v>
      </c>
      <c r="F22" s="5" t="s">
        <v>19</v>
      </c>
      <c r="G22" s="4">
        <v>66</v>
      </c>
      <c r="H22" s="6" t="str">
        <f t="shared" si="0"/>
        <v>03%</v>
      </c>
    </row>
    <row r="23" spans="1:9">
      <c r="A23" s="2">
        <v>155</v>
      </c>
      <c r="B23" s="3" t="s">
        <v>37</v>
      </c>
      <c r="C23" s="3" t="s">
        <v>16</v>
      </c>
      <c r="D23" s="3" t="s">
        <v>27</v>
      </c>
      <c r="E23" s="4">
        <v>64</v>
      </c>
      <c r="F23" s="5" t="s">
        <v>19</v>
      </c>
      <c r="G23" s="4">
        <v>58</v>
      </c>
      <c r="H23" s="6" t="str">
        <f t="shared" si="0"/>
        <v>-09%</v>
      </c>
    </row>
    <row r="24" spans="1:9" hidden="1">
      <c r="A24" s="2">
        <v>326</v>
      </c>
      <c r="B24" s="3" t="s">
        <v>38</v>
      </c>
      <c r="C24" s="3" t="s">
        <v>16</v>
      </c>
      <c r="D24" s="3" t="s">
        <v>14</v>
      </c>
      <c r="E24" s="4">
        <v>64</v>
      </c>
      <c r="F24" s="5" t="s">
        <v>19</v>
      </c>
      <c r="G24" s="4">
        <v>84</v>
      </c>
      <c r="H24" s="6" t="str">
        <f t="shared" si="0"/>
        <v>31%</v>
      </c>
    </row>
    <row r="25" spans="1:9" hidden="1">
      <c r="A25" s="2">
        <v>154</v>
      </c>
      <c r="B25" s="3" t="s">
        <v>39</v>
      </c>
      <c r="C25" s="3" t="s">
        <v>16</v>
      </c>
      <c r="D25" s="3" t="s">
        <v>18</v>
      </c>
      <c r="E25" s="4">
        <v>62</v>
      </c>
      <c r="F25" s="5" t="s">
        <v>40</v>
      </c>
      <c r="G25" s="4">
        <v>72</v>
      </c>
      <c r="H25" s="6" t="str">
        <f t="shared" si="0"/>
        <v>16%</v>
      </c>
    </row>
    <row r="26" spans="1:9">
      <c r="A26" s="2">
        <v>297</v>
      </c>
      <c r="B26" s="3" t="s">
        <v>41</v>
      </c>
      <c r="C26" s="3" t="s">
        <v>16</v>
      </c>
      <c r="D26" s="3" t="s">
        <v>27</v>
      </c>
      <c r="E26" s="4">
        <v>62</v>
      </c>
      <c r="F26" s="5" t="s">
        <v>19</v>
      </c>
      <c r="G26" s="4">
        <v>62</v>
      </c>
      <c r="H26" s="6" t="str">
        <f t="shared" si="0"/>
        <v>00%</v>
      </c>
    </row>
    <row r="27" spans="1:9">
      <c r="A27" s="2">
        <v>770</v>
      </c>
      <c r="B27" s="3" t="s">
        <v>42</v>
      </c>
      <c r="C27" s="3" t="s">
        <v>16</v>
      </c>
      <c r="D27" s="3" t="s">
        <v>27</v>
      </c>
      <c r="E27" s="4">
        <v>62</v>
      </c>
      <c r="F27" s="5" t="s">
        <v>19</v>
      </c>
      <c r="G27" s="4">
        <v>56</v>
      </c>
      <c r="H27" s="6" t="str">
        <f t="shared" si="0"/>
        <v>-10%</v>
      </c>
    </row>
    <row r="28" spans="1:9" hidden="1">
      <c r="A28" s="2">
        <v>156</v>
      </c>
      <c r="B28" s="3" t="s">
        <v>43</v>
      </c>
      <c r="C28" s="3" t="s">
        <v>16</v>
      </c>
      <c r="D28" s="3" t="s">
        <v>11</v>
      </c>
      <c r="E28" s="4">
        <v>62</v>
      </c>
      <c r="F28" s="5" t="s">
        <v>19</v>
      </c>
      <c r="G28" s="4">
        <v>86</v>
      </c>
      <c r="H28" s="6" t="str">
        <f t="shared" si="0"/>
        <v>39%</v>
      </c>
    </row>
    <row r="29" spans="1:9" hidden="1">
      <c r="A29" s="2">
        <v>160</v>
      </c>
      <c r="B29" s="3" t="s">
        <v>44</v>
      </c>
      <c r="C29" s="3" t="s">
        <v>16</v>
      </c>
      <c r="D29" s="3" t="s">
        <v>14</v>
      </c>
      <c r="E29" s="4">
        <v>62</v>
      </c>
      <c r="F29" s="5" t="s">
        <v>19</v>
      </c>
      <c r="G29" s="4">
        <v>52</v>
      </c>
      <c r="H29" s="6" t="str">
        <f t="shared" si="0"/>
        <v>-16%</v>
      </c>
    </row>
    <row r="30" spans="1:9">
      <c r="A30" s="2">
        <v>293</v>
      </c>
      <c r="B30" s="3" t="s">
        <v>45</v>
      </c>
      <c r="C30" s="3" t="s">
        <v>16</v>
      </c>
      <c r="D30" s="3" t="s">
        <v>27</v>
      </c>
      <c r="E30" s="4">
        <v>62</v>
      </c>
      <c r="F30" s="5" t="s">
        <v>19</v>
      </c>
      <c r="G30" s="4">
        <v>74</v>
      </c>
      <c r="H30" s="6" t="str">
        <f t="shared" si="0"/>
        <v>19%</v>
      </c>
    </row>
    <row r="31" spans="1:9">
      <c r="A31" s="2">
        <v>267</v>
      </c>
      <c r="B31" s="3" t="s">
        <v>46</v>
      </c>
      <c r="C31" s="3" t="s">
        <v>16</v>
      </c>
      <c r="D31" s="3" t="s">
        <v>27</v>
      </c>
      <c r="E31" s="4">
        <v>62</v>
      </c>
      <c r="F31" s="5" t="s">
        <v>19</v>
      </c>
      <c r="G31" s="4">
        <v>58</v>
      </c>
      <c r="H31" s="6" t="str">
        <f t="shared" si="0"/>
        <v>-06%</v>
      </c>
    </row>
    <row r="32" spans="1:9" hidden="1">
      <c r="A32" s="2">
        <v>290</v>
      </c>
      <c r="B32" s="3" t="s">
        <v>47</v>
      </c>
      <c r="C32" s="3" t="s">
        <v>16</v>
      </c>
      <c r="D32" s="3" t="s">
        <v>18</v>
      </c>
      <c r="E32" s="4">
        <v>62</v>
      </c>
      <c r="F32" s="5" t="s">
        <v>19</v>
      </c>
      <c r="G32" s="4">
        <v>58</v>
      </c>
      <c r="H32" s="6" t="str">
        <f t="shared" si="0"/>
        <v>-06%</v>
      </c>
    </row>
    <row r="33" spans="1:8" hidden="1">
      <c r="A33" s="2">
        <v>380</v>
      </c>
      <c r="B33" s="3" t="s">
        <v>48</v>
      </c>
      <c r="C33" s="3" t="s">
        <v>16</v>
      </c>
      <c r="D33" s="3" t="s">
        <v>18</v>
      </c>
      <c r="E33" s="4">
        <v>62</v>
      </c>
      <c r="F33" s="5" t="s">
        <v>19</v>
      </c>
      <c r="G33" s="4">
        <v>72</v>
      </c>
      <c r="H33" s="6" t="str">
        <f t="shared" si="0"/>
        <v>16%</v>
      </c>
    </row>
    <row r="34" spans="1:8" hidden="1">
      <c r="A34" s="2">
        <v>404</v>
      </c>
      <c r="B34" s="3" t="s">
        <v>49</v>
      </c>
      <c r="C34" s="3" t="s">
        <v>16</v>
      </c>
      <c r="D34" s="3" t="s">
        <v>14</v>
      </c>
      <c r="E34" s="4">
        <v>62</v>
      </c>
      <c r="F34" s="5" t="s">
        <v>19</v>
      </c>
      <c r="G34" s="4">
        <v>56</v>
      </c>
      <c r="H34" s="6" t="str">
        <f t="shared" si="0"/>
        <v>-10%</v>
      </c>
    </row>
    <row r="35" spans="1:8" hidden="1">
      <c r="A35" s="2">
        <v>153</v>
      </c>
      <c r="B35" s="3" t="s">
        <v>50</v>
      </c>
      <c r="C35" s="3" t="s">
        <v>16</v>
      </c>
      <c r="D35" s="3" t="s">
        <v>14</v>
      </c>
      <c r="E35" s="4">
        <v>60</v>
      </c>
      <c r="F35" s="5" t="s">
        <v>40</v>
      </c>
      <c r="G35" s="4">
        <v>54</v>
      </c>
      <c r="H35" s="6" t="str">
        <f t="shared" si="0"/>
        <v>-10%</v>
      </c>
    </row>
    <row r="36" spans="1:8">
      <c r="A36" s="2">
        <v>379</v>
      </c>
      <c r="B36" s="3" t="s">
        <v>51</v>
      </c>
      <c r="C36" s="3" t="s">
        <v>16</v>
      </c>
      <c r="D36" s="3" t="s">
        <v>27</v>
      </c>
      <c r="E36" s="4">
        <v>60</v>
      </c>
      <c r="F36" s="5" t="s">
        <v>40</v>
      </c>
      <c r="G36" s="4">
        <v>72</v>
      </c>
      <c r="H36" s="6" t="str">
        <f t="shared" ref="H36:H67" si="1">IF(G36="","",IF(E36=0,"",TEXT((G36-E36)/E36,"0.0%")))</f>
        <v>20%</v>
      </c>
    </row>
    <row r="37" spans="1:8">
      <c r="A37" s="2">
        <v>746</v>
      </c>
      <c r="B37" s="3" t="s">
        <v>52</v>
      </c>
      <c r="C37" s="3" t="s">
        <v>16</v>
      </c>
      <c r="D37" s="3" t="s">
        <v>27</v>
      </c>
      <c r="E37" s="4">
        <v>60</v>
      </c>
      <c r="F37" s="5" t="s">
        <v>40</v>
      </c>
      <c r="G37" s="4">
        <v>54</v>
      </c>
      <c r="H37" s="6" t="str">
        <f t="shared" si="1"/>
        <v>-10%</v>
      </c>
    </row>
    <row r="38" spans="1:8" hidden="1">
      <c r="A38" s="2">
        <v>773</v>
      </c>
      <c r="B38" s="3" t="s">
        <v>53</v>
      </c>
      <c r="C38" s="3" t="s">
        <v>16</v>
      </c>
      <c r="D38" s="3" t="s">
        <v>14</v>
      </c>
      <c r="E38" s="4">
        <v>60</v>
      </c>
      <c r="F38" s="5" t="s">
        <v>40</v>
      </c>
      <c r="G38" s="4">
        <v>56</v>
      </c>
      <c r="H38" s="6" t="str">
        <f t="shared" si="1"/>
        <v>-07%</v>
      </c>
    </row>
    <row r="39" spans="1:8" hidden="1">
      <c r="A39" s="2">
        <v>152</v>
      </c>
      <c r="B39" s="3" t="s">
        <v>54</v>
      </c>
      <c r="C39" s="3" t="s">
        <v>16</v>
      </c>
      <c r="D39" s="3" t="s">
        <v>14</v>
      </c>
      <c r="E39" s="4">
        <v>60</v>
      </c>
      <c r="F39" s="5" t="s">
        <v>40</v>
      </c>
      <c r="G39" s="4">
        <v>62</v>
      </c>
      <c r="H39" s="6" t="str">
        <f t="shared" si="1"/>
        <v>03%</v>
      </c>
    </row>
    <row r="40" spans="1:8" hidden="1">
      <c r="A40" s="2">
        <v>308</v>
      </c>
      <c r="B40" s="3" t="s">
        <v>55</v>
      </c>
      <c r="C40" s="3" t="s">
        <v>16</v>
      </c>
      <c r="D40" s="3" t="s">
        <v>18</v>
      </c>
      <c r="E40" s="4">
        <v>60</v>
      </c>
      <c r="F40" s="5" t="s">
        <v>40</v>
      </c>
      <c r="G40" s="4">
        <v>52</v>
      </c>
      <c r="H40" s="6" t="str">
        <f t="shared" si="1"/>
        <v>-13%</v>
      </c>
    </row>
    <row r="41" spans="1:8" hidden="1">
      <c r="A41" s="2">
        <v>306</v>
      </c>
      <c r="B41" s="3" t="s">
        <v>56</v>
      </c>
      <c r="C41" s="3" t="s">
        <v>16</v>
      </c>
      <c r="D41" s="3" t="s">
        <v>18</v>
      </c>
      <c r="E41" s="4">
        <v>60</v>
      </c>
      <c r="F41" s="5" t="s">
        <v>40</v>
      </c>
      <c r="G41" s="4">
        <v>70</v>
      </c>
      <c r="H41" s="6" t="str">
        <f t="shared" si="1"/>
        <v>17%</v>
      </c>
    </row>
    <row r="42" spans="1:8" hidden="1">
      <c r="A42" s="2">
        <v>289</v>
      </c>
      <c r="B42" s="3" t="s">
        <v>57</v>
      </c>
      <c r="C42" s="3" t="s">
        <v>16</v>
      </c>
      <c r="D42" s="3" t="s">
        <v>11</v>
      </c>
      <c r="E42" s="4">
        <v>60</v>
      </c>
      <c r="F42" s="5" t="s">
        <v>40</v>
      </c>
      <c r="G42" s="4">
        <v>72</v>
      </c>
      <c r="H42" s="6" t="str">
        <f t="shared" si="1"/>
        <v>20%</v>
      </c>
    </row>
    <row r="43" spans="1:8" hidden="1">
      <c r="A43" s="2">
        <v>533</v>
      </c>
      <c r="B43" s="3" t="s">
        <v>58</v>
      </c>
      <c r="C43" s="3" t="s">
        <v>16</v>
      </c>
      <c r="D43" s="3" t="s">
        <v>18</v>
      </c>
      <c r="E43" s="4">
        <v>60</v>
      </c>
      <c r="F43" s="5" t="s">
        <v>40</v>
      </c>
      <c r="G43" s="4">
        <v>70</v>
      </c>
      <c r="H43" s="6" t="str">
        <f t="shared" si="1"/>
        <v>17%</v>
      </c>
    </row>
    <row r="44" spans="1:8">
      <c r="A44" s="2">
        <v>130</v>
      </c>
      <c r="B44" s="3" t="s">
        <v>59</v>
      </c>
      <c r="C44" s="3" t="s">
        <v>16</v>
      </c>
      <c r="D44" s="3" t="s">
        <v>27</v>
      </c>
      <c r="E44" s="4">
        <v>60</v>
      </c>
      <c r="F44" s="5" t="s">
        <v>40</v>
      </c>
      <c r="G44" s="4">
        <v>60</v>
      </c>
      <c r="H44" s="6" t="str">
        <f t="shared" si="1"/>
        <v>00%</v>
      </c>
    </row>
    <row r="45" spans="1:8" hidden="1">
      <c r="A45" s="2">
        <v>305</v>
      </c>
      <c r="B45" s="3" t="s">
        <v>60</v>
      </c>
      <c r="C45" s="3" t="s">
        <v>16</v>
      </c>
      <c r="D45" s="3" t="s">
        <v>11</v>
      </c>
      <c r="E45" s="4">
        <v>60</v>
      </c>
      <c r="F45" s="5" t="s">
        <v>40</v>
      </c>
      <c r="G45" s="4">
        <v>70</v>
      </c>
      <c r="H45" s="6" t="str">
        <f t="shared" si="1"/>
        <v>17%</v>
      </c>
    </row>
    <row r="46" spans="1:8" hidden="1">
      <c r="A46" s="2">
        <v>386</v>
      </c>
      <c r="B46" s="3" t="s">
        <v>61</v>
      </c>
      <c r="C46" s="3" t="s">
        <v>16</v>
      </c>
      <c r="D46" s="3" t="s">
        <v>18</v>
      </c>
      <c r="E46" s="4">
        <v>60</v>
      </c>
      <c r="F46" s="5" t="s">
        <v>40</v>
      </c>
      <c r="G46" s="4">
        <v>52</v>
      </c>
      <c r="H46" s="6" t="str">
        <f t="shared" si="1"/>
        <v>-13%</v>
      </c>
    </row>
    <row r="47" spans="1:8" hidden="1">
      <c r="A47" s="2">
        <v>520</v>
      </c>
      <c r="B47" s="3" t="s">
        <v>62</v>
      </c>
      <c r="C47" s="3" t="s">
        <v>16</v>
      </c>
      <c r="D47" s="3" t="s">
        <v>14</v>
      </c>
      <c r="E47" s="4">
        <v>60</v>
      </c>
      <c r="F47" s="5" t="s">
        <v>40</v>
      </c>
      <c r="G47" s="4">
        <v>60</v>
      </c>
      <c r="H47" s="6" t="str">
        <f t="shared" si="1"/>
        <v>00%</v>
      </c>
    </row>
    <row r="48" spans="1:8" hidden="1">
      <c r="A48" s="2">
        <v>304</v>
      </c>
      <c r="B48" s="3" t="s">
        <v>63</v>
      </c>
      <c r="C48" s="3" t="s">
        <v>16</v>
      </c>
      <c r="D48" s="3" t="s">
        <v>11</v>
      </c>
      <c r="E48" s="4">
        <v>60</v>
      </c>
      <c r="F48" s="5" t="s">
        <v>40</v>
      </c>
      <c r="G48" s="4">
        <v>70</v>
      </c>
      <c r="H48" s="6" t="str">
        <f t="shared" si="1"/>
        <v>17%</v>
      </c>
    </row>
    <row r="49" spans="1:8" hidden="1">
      <c r="A49" s="2">
        <v>653</v>
      </c>
      <c r="B49" s="3" t="s">
        <v>64</v>
      </c>
      <c r="C49" s="3" t="s">
        <v>16</v>
      </c>
      <c r="D49" s="3" t="s">
        <v>11</v>
      </c>
      <c r="E49" s="4">
        <v>60</v>
      </c>
      <c r="F49" s="5" t="s">
        <v>40</v>
      </c>
      <c r="G49" s="4">
        <v>54</v>
      </c>
      <c r="H49" s="6" t="str">
        <f t="shared" si="1"/>
        <v>-10%</v>
      </c>
    </row>
    <row r="50" spans="1:8">
      <c r="A50" s="2">
        <v>656</v>
      </c>
      <c r="B50" s="3" t="s">
        <v>65</v>
      </c>
      <c r="C50" s="3" t="s">
        <v>16</v>
      </c>
      <c r="D50" s="3" t="s">
        <v>27</v>
      </c>
      <c r="E50" s="4">
        <v>60</v>
      </c>
      <c r="F50" s="5" t="s">
        <v>40</v>
      </c>
      <c r="G50" s="4">
        <v>56</v>
      </c>
      <c r="H50" s="6" t="str">
        <f t="shared" si="1"/>
        <v>-07%</v>
      </c>
    </row>
    <row r="51" spans="1:8" hidden="1">
      <c r="A51" s="2">
        <v>555</v>
      </c>
      <c r="B51" s="3" t="s">
        <v>66</v>
      </c>
      <c r="C51" s="3" t="s">
        <v>16</v>
      </c>
      <c r="D51" s="3" t="s">
        <v>11</v>
      </c>
      <c r="E51" s="4">
        <v>60</v>
      </c>
      <c r="F51" s="5" t="s">
        <v>40</v>
      </c>
      <c r="G51" s="4">
        <v>56</v>
      </c>
      <c r="H51" s="6" t="str">
        <f t="shared" si="1"/>
        <v>-07%</v>
      </c>
    </row>
    <row r="52" spans="1:8" hidden="1">
      <c r="A52" s="2">
        <v>403</v>
      </c>
      <c r="B52" s="3" t="s">
        <v>67</v>
      </c>
      <c r="C52" s="3" t="s">
        <v>16</v>
      </c>
      <c r="D52" s="3" t="s">
        <v>14</v>
      </c>
      <c r="E52" s="4">
        <v>58</v>
      </c>
      <c r="F52" s="5" t="s">
        <v>40</v>
      </c>
      <c r="G52" s="4">
        <v>70</v>
      </c>
      <c r="H52" s="6" t="str">
        <f t="shared" si="1"/>
        <v>21%</v>
      </c>
    </row>
    <row r="53" spans="1:8" hidden="1">
      <c r="A53" s="2">
        <v>493</v>
      </c>
      <c r="B53" s="3" t="s">
        <v>68</v>
      </c>
      <c r="C53" s="3" t="s">
        <v>16</v>
      </c>
      <c r="D53" s="3" t="s">
        <v>18</v>
      </c>
      <c r="E53" s="4">
        <v>58</v>
      </c>
      <c r="F53" s="5" t="s">
        <v>40</v>
      </c>
      <c r="G53" s="4">
        <v>52</v>
      </c>
      <c r="H53" s="6" t="str">
        <f t="shared" si="1"/>
        <v>-10%</v>
      </c>
    </row>
    <row r="54" spans="1:8">
      <c r="A54" s="2">
        <v>428</v>
      </c>
      <c r="B54" s="3" t="s">
        <v>69</v>
      </c>
      <c r="C54" s="3" t="s">
        <v>16</v>
      </c>
      <c r="D54" s="3" t="s">
        <v>27</v>
      </c>
      <c r="E54" s="4">
        <v>58</v>
      </c>
      <c r="F54" s="5" t="s">
        <v>40</v>
      </c>
      <c r="G54" s="4">
        <v>58</v>
      </c>
      <c r="H54" s="6" t="str">
        <f t="shared" si="1"/>
        <v>00%</v>
      </c>
    </row>
    <row r="55" spans="1:8" hidden="1">
      <c r="A55" s="2">
        <v>535</v>
      </c>
      <c r="B55" s="3" t="s">
        <v>70</v>
      </c>
      <c r="C55" s="3" t="s">
        <v>16</v>
      </c>
      <c r="D55" s="3" t="s">
        <v>18</v>
      </c>
      <c r="E55" s="4">
        <v>58</v>
      </c>
      <c r="F55" s="5" t="s">
        <v>40</v>
      </c>
      <c r="G55" s="4">
        <v>66</v>
      </c>
      <c r="H55" s="6" t="str">
        <f t="shared" si="1"/>
        <v>14%</v>
      </c>
    </row>
    <row r="56" spans="1:8" hidden="1">
      <c r="A56" s="2">
        <v>583</v>
      </c>
      <c r="B56" s="3" t="s">
        <v>71</v>
      </c>
      <c r="C56" s="3" t="s">
        <v>16</v>
      </c>
      <c r="D56" s="3" t="s">
        <v>18</v>
      </c>
      <c r="E56" s="4">
        <v>58</v>
      </c>
      <c r="F56" s="5" t="s">
        <v>40</v>
      </c>
      <c r="G56" s="4">
        <v>68</v>
      </c>
      <c r="H56" s="6" t="str">
        <f t="shared" si="1"/>
        <v>17%</v>
      </c>
    </row>
    <row r="57" spans="1:8" hidden="1">
      <c r="A57" s="2">
        <v>389</v>
      </c>
      <c r="B57" s="3" t="s">
        <v>72</v>
      </c>
      <c r="C57" s="3" t="s">
        <v>16</v>
      </c>
      <c r="D57" s="3" t="s">
        <v>18</v>
      </c>
      <c r="E57" s="4">
        <v>56</v>
      </c>
      <c r="F57" s="5" t="s">
        <v>40</v>
      </c>
      <c r="G57" s="4" t="s">
        <v>73</v>
      </c>
      <c r="H57" s="6" t="e">
        <f t="shared" si="1"/>
        <v>#VALUE!</v>
      </c>
    </row>
    <row r="58" spans="1:8">
      <c r="A58" s="2">
        <v>771</v>
      </c>
      <c r="B58" s="3" t="s">
        <v>74</v>
      </c>
      <c r="C58" s="3" t="s">
        <v>16</v>
      </c>
      <c r="D58" s="3" t="s">
        <v>27</v>
      </c>
      <c r="E58" s="4">
        <v>56</v>
      </c>
      <c r="F58" s="5" t="s">
        <v>40</v>
      </c>
      <c r="G58" s="4">
        <v>70</v>
      </c>
      <c r="H58" s="6" t="str">
        <f t="shared" si="1"/>
        <v>25%</v>
      </c>
    </row>
    <row r="59" spans="1:8">
      <c r="A59" s="2">
        <v>745</v>
      </c>
      <c r="B59" s="3" t="s">
        <v>75</v>
      </c>
      <c r="C59" s="3" t="s">
        <v>16</v>
      </c>
      <c r="D59" s="3" t="s">
        <v>27</v>
      </c>
      <c r="E59" s="4">
        <v>56</v>
      </c>
      <c r="F59" s="5" t="s">
        <v>40</v>
      </c>
      <c r="G59" s="4">
        <v>70</v>
      </c>
      <c r="H59" s="6" t="str">
        <f t="shared" si="1"/>
        <v>25%</v>
      </c>
    </row>
    <row r="60" spans="1:8" hidden="1">
      <c r="A60" s="2">
        <v>336</v>
      </c>
      <c r="B60" s="3" t="s">
        <v>76</v>
      </c>
      <c r="C60" s="3" t="s">
        <v>16</v>
      </c>
      <c r="D60" s="3" t="s">
        <v>18</v>
      </c>
      <c r="E60" s="4">
        <v>56</v>
      </c>
      <c r="F60" s="5" t="s">
        <v>40</v>
      </c>
      <c r="G60" s="4">
        <v>60</v>
      </c>
      <c r="H60" s="6" t="str">
        <f t="shared" si="1"/>
        <v>07%</v>
      </c>
    </row>
    <row r="61" spans="1:8" hidden="1">
      <c r="A61" s="2">
        <v>384</v>
      </c>
      <c r="B61" s="3" t="s">
        <v>77</v>
      </c>
      <c r="C61" s="3" t="s">
        <v>16</v>
      </c>
      <c r="D61" s="3" t="s">
        <v>11</v>
      </c>
      <c r="E61" s="4">
        <v>56</v>
      </c>
      <c r="F61" s="5" t="s">
        <v>40</v>
      </c>
      <c r="G61" s="4">
        <v>72</v>
      </c>
      <c r="H61" s="6" t="str">
        <f t="shared" si="1"/>
        <v>29%</v>
      </c>
    </row>
    <row r="62" spans="1:8" hidden="1">
      <c r="A62" s="2">
        <v>410</v>
      </c>
      <c r="B62" s="3" t="s">
        <v>78</v>
      </c>
      <c r="C62" s="3" t="s">
        <v>16</v>
      </c>
      <c r="D62" s="3" t="s">
        <v>11</v>
      </c>
      <c r="E62" s="4">
        <v>56</v>
      </c>
      <c r="F62" s="5" t="s">
        <v>40</v>
      </c>
      <c r="G62" s="4">
        <v>66</v>
      </c>
      <c r="H62" s="6" t="str">
        <f t="shared" si="1"/>
        <v>18%</v>
      </c>
    </row>
    <row r="63" spans="1:8" hidden="1">
      <c r="A63" s="2">
        <v>225</v>
      </c>
      <c r="B63" s="3" t="s">
        <v>79</v>
      </c>
      <c r="C63" s="3" t="s">
        <v>16</v>
      </c>
      <c r="D63" s="3" t="s">
        <v>11</v>
      </c>
      <c r="E63" s="4">
        <v>56</v>
      </c>
      <c r="F63" s="5" t="s">
        <v>40</v>
      </c>
      <c r="G63" s="4">
        <v>68</v>
      </c>
      <c r="H63" s="6" t="str">
        <f t="shared" si="1"/>
        <v>21%</v>
      </c>
    </row>
    <row r="64" spans="1:8">
      <c r="A64" s="2">
        <v>291</v>
      </c>
      <c r="B64" s="3" t="s">
        <v>80</v>
      </c>
      <c r="C64" s="3" t="s">
        <v>16</v>
      </c>
      <c r="D64" s="3" t="s">
        <v>27</v>
      </c>
      <c r="E64" s="4">
        <v>56</v>
      </c>
      <c r="F64" s="5" t="s">
        <v>40</v>
      </c>
      <c r="G64" s="4">
        <v>62</v>
      </c>
      <c r="H64" s="6" t="str">
        <f t="shared" si="1"/>
        <v>11%</v>
      </c>
    </row>
    <row r="65" spans="1:8" hidden="1">
      <c r="A65" s="2">
        <v>652</v>
      </c>
      <c r="B65" s="3" t="s">
        <v>81</v>
      </c>
      <c r="C65" s="3" t="s">
        <v>16</v>
      </c>
      <c r="D65" s="3" t="s">
        <v>14</v>
      </c>
      <c r="E65" s="4">
        <v>56</v>
      </c>
      <c r="F65" s="5" t="s">
        <v>40</v>
      </c>
      <c r="G65" s="4">
        <v>44</v>
      </c>
      <c r="H65" s="6" t="str">
        <f t="shared" si="1"/>
        <v>-21%</v>
      </c>
    </row>
    <row r="66" spans="1:8" hidden="1">
      <c r="A66" s="2">
        <v>577</v>
      </c>
      <c r="B66" s="3" t="s">
        <v>82</v>
      </c>
      <c r="C66" s="3" t="s">
        <v>16</v>
      </c>
      <c r="D66" s="3" t="s">
        <v>11</v>
      </c>
      <c r="E66" s="4">
        <v>56</v>
      </c>
      <c r="F66" s="5" t="s">
        <v>40</v>
      </c>
      <c r="G66" s="4">
        <v>70</v>
      </c>
      <c r="H66" s="6" t="str">
        <f t="shared" si="1"/>
        <v>25%</v>
      </c>
    </row>
    <row r="67" spans="1:8">
      <c r="A67" s="2">
        <v>582</v>
      </c>
      <c r="B67" s="3" t="s">
        <v>83</v>
      </c>
      <c r="C67" s="3" t="s">
        <v>16</v>
      </c>
      <c r="D67" s="3" t="s">
        <v>27</v>
      </c>
      <c r="E67" s="4">
        <v>54</v>
      </c>
      <c r="F67" s="5" t="s">
        <v>40</v>
      </c>
      <c r="G67" s="4">
        <v>54</v>
      </c>
      <c r="H67" s="6" t="str">
        <f t="shared" si="1"/>
        <v>00%</v>
      </c>
    </row>
    <row r="68" spans="1:8" hidden="1">
      <c r="A68" s="2">
        <v>769</v>
      </c>
      <c r="B68" s="3" t="s">
        <v>84</v>
      </c>
      <c r="C68" s="3" t="s">
        <v>16</v>
      </c>
      <c r="D68" s="3" t="s">
        <v>18</v>
      </c>
      <c r="E68" s="4">
        <v>54</v>
      </c>
      <c r="F68" s="5" t="s">
        <v>40</v>
      </c>
      <c r="G68" s="4">
        <v>70</v>
      </c>
      <c r="H68" s="6" t="str">
        <f t="shared" ref="H68:H99" si="2">IF(G68="","",IF(E68=0,"",TEXT((G68-E68)/E68,"0.0%")))</f>
        <v>30%</v>
      </c>
    </row>
    <row r="69" spans="1:8">
      <c r="A69" s="2">
        <v>303</v>
      </c>
      <c r="B69" s="3" t="s">
        <v>85</v>
      </c>
      <c r="C69" s="3" t="s">
        <v>16</v>
      </c>
      <c r="D69" s="3" t="s">
        <v>27</v>
      </c>
      <c r="E69" s="4">
        <v>54</v>
      </c>
      <c r="F69" s="5" t="s">
        <v>40</v>
      </c>
      <c r="G69" s="4">
        <v>58</v>
      </c>
      <c r="H69" s="6" t="str">
        <f t="shared" si="2"/>
        <v>07%</v>
      </c>
    </row>
    <row r="70" spans="1:8" hidden="1">
      <c r="A70" s="2">
        <v>299</v>
      </c>
      <c r="B70" s="3" t="s">
        <v>86</v>
      </c>
      <c r="C70" s="3" t="s">
        <v>16</v>
      </c>
      <c r="D70" s="3" t="s">
        <v>11</v>
      </c>
      <c r="E70" s="4">
        <v>54</v>
      </c>
      <c r="F70" s="5" t="s">
        <v>40</v>
      </c>
      <c r="G70" s="4">
        <v>68</v>
      </c>
      <c r="H70" s="6" t="str">
        <f t="shared" si="2"/>
        <v>26%</v>
      </c>
    </row>
    <row r="71" spans="1:8" hidden="1">
      <c r="A71" s="2">
        <v>350</v>
      </c>
      <c r="B71" s="3" t="s">
        <v>87</v>
      </c>
      <c r="C71" s="3" t="s">
        <v>16</v>
      </c>
      <c r="D71" s="3" t="s">
        <v>14</v>
      </c>
      <c r="E71" s="4">
        <v>52</v>
      </c>
      <c r="F71" s="5" t="s">
        <v>40</v>
      </c>
      <c r="G71" s="4">
        <v>50</v>
      </c>
      <c r="H71" s="6" t="str">
        <f t="shared" si="2"/>
        <v>-04%</v>
      </c>
    </row>
    <row r="72" spans="1:8">
      <c r="A72" s="2">
        <v>772</v>
      </c>
      <c r="B72" s="3" t="s">
        <v>88</v>
      </c>
      <c r="C72" s="3" t="s">
        <v>16</v>
      </c>
      <c r="D72" s="3" t="s">
        <v>27</v>
      </c>
      <c r="E72" s="4">
        <v>50</v>
      </c>
      <c r="F72" s="5" t="s">
        <v>89</v>
      </c>
      <c r="G72" s="4">
        <v>56</v>
      </c>
      <c r="H72" s="6" t="str">
        <f t="shared" si="2"/>
        <v>12%</v>
      </c>
    </row>
    <row r="73" spans="1:8" hidden="1">
      <c r="A73" s="2">
        <v>300</v>
      </c>
      <c r="B73" s="3" t="s">
        <v>90</v>
      </c>
      <c r="C73" s="3" t="s">
        <v>16</v>
      </c>
      <c r="D73" s="3" t="s">
        <v>18</v>
      </c>
      <c r="E73" s="4">
        <v>50</v>
      </c>
      <c r="F73" s="5" t="s">
        <v>89</v>
      </c>
      <c r="G73" s="4">
        <v>60</v>
      </c>
      <c r="H73" s="6" t="str">
        <f t="shared" si="2"/>
        <v>20%</v>
      </c>
    </row>
    <row r="74" spans="1:8" hidden="1">
      <c r="A74" s="2">
        <v>657</v>
      </c>
      <c r="B74" s="3" t="s">
        <v>91</v>
      </c>
      <c r="C74" s="3" t="s">
        <v>16</v>
      </c>
      <c r="D74" s="3" t="s">
        <v>11</v>
      </c>
      <c r="E74" s="4">
        <v>50</v>
      </c>
      <c r="F74" s="5" t="s">
        <v>89</v>
      </c>
      <c r="G74" s="4">
        <v>70</v>
      </c>
      <c r="H74" s="6" t="str">
        <f t="shared" si="2"/>
        <v>40%</v>
      </c>
    </row>
    <row r="75" spans="1:8" hidden="1">
      <c r="A75" s="2">
        <v>307</v>
      </c>
      <c r="B75" s="3" t="s">
        <v>92</v>
      </c>
      <c r="C75" s="3" t="s">
        <v>16</v>
      </c>
      <c r="D75" s="3" t="s">
        <v>14</v>
      </c>
      <c r="E75" s="4">
        <v>48</v>
      </c>
      <c r="F75" s="5" t="s">
        <v>89</v>
      </c>
      <c r="G75" s="4">
        <v>48</v>
      </c>
      <c r="H75" s="6" t="str">
        <f t="shared" si="2"/>
        <v>00%</v>
      </c>
    </row>
  </sheetData>
  <autoFilter ref="A3:H75" xr:uid="{00000000-0001-0000-0000-000000000000}">
    <filterColumn colId="3">
      <filters>
        <filter val="Grecia"/>
      </filters>
    </filterColumn>
    <filterColumn colId="6">
      <filters blank="1"/>
    </filterColumn>
  </autoFilter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topLeftCell="A30" workbookViewId="0">
      <selection sqref="A1:D1"/>
    </sheetView>
  </sheetViews>
  <sheetFormatPr defaultColWidth="8.85546875" defaultRowHeight="15"/>
  <cols>
    <col min="1" max="1" width="80" customWidth="1"/>
    <col min="2" max="2" width="3" customWidth="1"/>
  </cols>
  <sheetData>
    <row r="1" spans="1:4" ht="24.95" customHeight="1">
      <c r="A1" s="15" t="s">
        <v>93</v>
      </c>
      <c r="B1" s="17"/>
      <c r="C1" s="17"/>
      <c r="D1" s="17"/>
    </row>
    <row r="2" spans="1:4">
      <c r="A2" s="7"/>
    </row>
    <row r="3" spans="1:4" ht="18" customHeight="1">
      <c r="A3" s="16" t="s">
        <v>94</v>
      </c>
      <c r="B3" s="17"/>
      <c r="C3" s="17"/>
      <c r="D3" s="17"/>
    </row>
    <row r="4" spans="1:4">
      <c r="A4" s="7" t="s">
        <v>95</v>
      </c>
    </row>
    <row r="5" spans="1:4">
      <c r="A5" s="7" t="s">
        <v>96</v>
      </c>
    </row>
    <row r="6" spans="1:4">
      <c r="A6" s="7"/>
    </row>
    <row r="7" spans="1:4" ht="18" customHeight="1">
      <c r="A7" s="16" t="s">
        <v>97</v>
      </c>
      <c r="B7" s="17"/>
      <c r="C7" s="17"/>
      <c r="D7" s="17"/>
    </row>
    <row r="8" spans="1:4">
      <c r="A8" s="7" t="s">
        <v>98</v>
      </c>
    </row>
    <row r="9" spans="1:4">
      <c r="A9" s="7" t="s">
        <v>99</v>
      </c>
    </row>
    <row r="10" spans="1:4">
      <c r="A10" s="7" t="s">
        <v>100</v>
      </c>
    </row>
    <row r="11" spans="1:4">
      <c r="A11" s="7" t="s">
        <v>101</v>
      </c>
    </row>
    <row r="12" spans="1:4">
      <c r="A12" s="7" t="s">
        <v>102</v>
      </c>
    </row>
    <row r="13" spans="1:4">
      <c r="A13" s="7"/>
    </row>
    <row r="14" spans="1:4" ht="18" customHeight="1">
      <c r="A14" s="16" t="s">
        <v>103</v>
      </c>
      <c r="B14" s="17"/>
      <c r="C14" s="17"/>
      <c r="D14" s="17"/>
    </row>
    <row r="15" spans="1:4">
      <c r="A15" s="7" t="s">
        <v>104</v>
      </c>
    </row>
    <row r="16" spans="1:4">
      <c r="A16" s="7" t="s">
        <v>105</v>
      </c>
    </row>
    <row r="17" spans="1:4">
      <c r="A17" s="7" t="s">
        <v>106</v>
      </c>
    </row>
    <row r="18" spans="1:4">
      <c r="A18" s="7" t="s">
        <v>107</v>
      </c>
    </row>
    <row r="19" spans="1:4">
      <c r="A19" s="7" t="s">
        <v>108</v>
      </c>
    </row>
    <row r="20" spans="1:4">
      <c r="A20" s="7" t="s">
        <v>109</v>
      </c>
    </row>
    <row r="21" spans="1:4">
      <c r="A21" s="7" t="s">
        <v>110</v>
      </c>
    </row>
    <row r="22" spans="1:4">
      <c r="A22" s="7" t="s">
        <v>111</v>
      </c>
    </row>
    <row r="23" spans="1:4">
      <c r="A23" s="7"/>
    </row>
    <row r="24" spans="1:4" ht="18" customHeight="1">
      <c r="A24" s="16" t="s">
        <v>112</v>
      </c>
      <c r="B24" s="17"/>
      <c r="C24" s="17"/>
      <c r="D24" s="17"/>
    </row>
    <row r="25" spans="1:4">
      <c r="A25" s="7" t="s">
        <v>113</v>
      </c>
    </row>
    <row r="26" spans="1:4">
      <c r="A26" s="7" t="s">
        <v>114</v>
      </c>
    </row>
    <row r="27" spans="1:4">
      <c r="A27" s="7" t="s">
        <v>115</v>
      </c>
    </row>
    <row r="28" spans="1:4">
      <c r="A28" s="7" t="s">
        <v>116</v>
      </c>
    </row>
    <row r="29" spans="1:4">
      <c r="A29" s="7"/>
    </row>
    <row r="30" spans="1:4" ht="18" customHeight="1">
      <c r="A30" s="16" t="s">
        <v>117</v>
      </c>
      <c r="B30" s="17"/>
      <c r="C30" s="17"/>
      <c r="D30" s="17"/>
    </row>
    <row r="31" spans="1:4">
      <c r="A31" s="7" t="s">
        <v>118</v>
      </c>
    </row>
    <row r="32" spans="1:4">
      <c r="A32" s="7" t="s">
        <v>119</v>
      </c>
    </row>
    <row r="33" spans="1:1">
      <c r="A33" s="7" t="s">
        <v>120</v>
      </c>
    </row>
    <row r="34" spans="1:1">
      <c r="A34" s="7" t="s">
        <v>121</v>
      </c>
    </row>
    <row r="35" spans="1:1">
      <c r="A35" s="7" t="s">
        <v>122</v>
      </c>
    </row>
  </sheetData>
  <mergeCells count="6">
    <mergeCell ref="A1:D1"/>
    <mergeCell ref="A3:D3"/>
    <mergeCell ref="A30:D30"/>
    <mergeCell ref="A7:D7"/>
    <mergeCell ref="A24:D24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Edgar David Terry Pereyra</cp:lastModifiedBy>
  <cp:revision/>
  <dcterms:created xsi:type="dcterms:W3CDTF">2026-06-24T20:06:05Z</dcterms:created>
  <dcterms:modified xsi:type="dcterms:W3CDTF">2026-08-01T04:15:43Z</dcterms:modified>
  <cp:category/>
  <cp:contentStatus/>
</cp:coreProperties>
</file>