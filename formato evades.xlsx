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\OneDrive\Escritorio\"/>
    </mc:Choice>
  </mc:AlternateContent>
  <xr:revisionPtr revIDLastSave="0" documentId="8_{FA14FA70-3B01-4A71-AB8A-42F2E9AF5BF6}" xr6:coauthVersionLast="47" xr6:coauthVersionMax="47" xr10:uidLastSave="{00000000-0000-0000-0000-000000000000}"/>
  <bookViews>
    <workbookView xWindow="-120" yWindow="-120" windowWidth="29040" windowHeight="15720" xr2:uid="{C225138A-6603-429A-B2E7-D32F92354564}"/>
  </bookViews>
  <sheets>
    <sheet name="formato" sheetId="2" r:id="rId1"/>
    <sheet name="Hoja1" sheetId="1" r:id="rId2"/>
  </sheets>
  <externalReferences>
    <externalReference r:id="rId3"/>
    <externalReference r:id="rId4"/>
    <externalReference r:id="rId5"/>
  </externalReferences>
  <definedNames>
    <definedName name="BASE">#REF!</definedName>
    <definedName name="MatrizFI">[2]Referencias!$F$5:$J$9</definedName>
    <definedName name="NOMBRES">[3]!DATA_OP[[#All],[NOMBRES COMPLETOS]]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2" l="1"/>
  <c r="G12" i="2"/>
  <c r="G13" i="2"/>
  <c r="G14" i="2"/>
  <c r="G15" i="2"/>
  <c r="C16" i="2"/>
  <c r="G25" i="2"/>
  <c r="G20" i="2"/>
  <c r="G21" i="2"/>
  <c r="G22" i="2"/>
  <c r="G23" i="2"/>
  <c r="G24" i="2"/>
  <c r="C25" i="2"/>
  <c r="C27" i="2" l="1"/>
  <c r="C28" i="2" s="1"/>
</calcChain>
</file>

<file path=xl/sharedStrings.xml><?xml version="1.0" encoding="utf-8"?>
<sst xmlns="http://schemas.openxmlformats.org/spreadsheetml/2006/main" count="52" uniqueCount="48">
  <si>
    <t>Firma del evaluado</t>
  </si>
  <si>
    <t>Firma del evaluador</t>
  </si>
  <si>
    <t>Plan de acción para próximo trimestre</t>
  </si>
  <si>
    <t>Aspectos a mejorar</t>
  </si>
  <si>
    <t>Fortalezas observadas</t>
  </si>
  <si>
    <t>RETROALIMENTACIÓN Y PLAN DE ACCIÓN</t>
  </si>
  <si>
    <t>Variación</t>
  </si>
  <si>
    <t>CLASIFICACIÓN</t>
  </si>
  <si>
    <t>Puntaje 2026-I</t>
  </si>
  <si>
    <t>/ 100</t>
  </si>
  <si>
    <t>PUNTAJE TOTAL</t>
  </si>
  <si>
    <t>SUBTOTAL SECCIÓN B</t>
  </si>
  <si>
    <t>Seguridad en el trabajo  (EPPs, orden y limpieza, cuidado de equipos)</t>
  </si>
  <si>
    <t>Disciplina profesional  (responsabilidad en funciones, asistencia a capacitaciones)</t>
  </si>
  <si>
    <t>Iniciativa y compromiso  (proyección operativa, sentido de urgencia)</t>
  </si>
  <si>
    <t>Comunicación y Colaboración  (continuidad operativa: relevos, radios, info de turno)</t>
  </si>
  <si>
    <t>Dominio sólido en las tareas asignadas  (errores: pedeteo, balanzas, USR, CDR, PS)</t>
  </si>
  <si>
    <t>Cantidad de incidentes considerados</t>
  </si>
  <si>
    <t>Nivel Final</t>
  </si>
  <si>
    <t>Puntaje Final</t>
  </si>
  <si>
    <t>Reduccion de Puntos</t>
  </si>
  <si>
    <t>Incrementos de puntos</t>
  </si>
  <si>
    <t>Puntaje inicial</t>
  </si>
  <si>
    <t>Competencia · Punto a mejorar</t>
  </si>
  <si>
    <t>N°</t>
  </si>
  <si>
    <t xml:space="preserve">SECCIÓN B — COMPETENCIAS  OPERATIVAS POR MATRIZ FRECUENCIA × IMPACTO </t>
  </si>
  <si>
    <t>/ 50</t>
  </si>
  <si>
    <t>SUBTOTAL SECCIÓN A</t>
  </si>
  <si>
    <t>Eficiencia</t>
  </si>
  <si>
    <t xml:space="preserve">Productividad </t>
  </si>
  <si>
    <t>Adaptabilidad</t>
  </si>
  <si>
    <t>Organización y gestión del tiempo</t>
  </si>
  <si>
    <t>Autonomía</t>
  </si>
  <si>
    <t>Comentario / Evidencia observada</t>
  </si>
  <si>
    <t xml:space="preserve">Reduccion de Puntos </t>
  </si>
  <si>
    <t>Incremento de puntos</t>
  </si>
  <si>
    <t>Competencia</t>
  </si>
  <si>
    <t xml:space="preserve">SECCIÓN A — COMPETENCIAS CONDUCTUALES </t>
  </si>
  <si>
    <t>Fecha de ingreso</t>
  </si>
  <si>
    <t>DNI</t>
  </si>
  <si>
    <t>Fecha de evaluación</t>
  </si>
  <si>
    <t>Cargo</t>
  </si>
  <si>
    <t>Evaluador</t>
  </si>
  <si>
    <t>Codigo</t>
  </si>
  <si>
    <t>Período evaluado</t>
  </si>
  <si>
    <t>Nombre completo</t>
  </si>
  <si>
    <t>DATOS DEL EVALUADO</t>
  </si>
  <si>
    <t>EVALUACIÓN DE DESEMPEÑO INDIVIDUAL — TALLY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</si>
</sst>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Calibri"/>
      <family val="2"/>
      <charset val="1"/>
    </font>
    <font>
      <b/>
      <sz val="12"/>
      <color rgb="FF000000"/>
      <name val="Arial"/>
      <family val="2"/>
    </font>
    <font>
      <b/>
      <sz val="16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1F4E78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</fills>
  <borders count="21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2" fillId="0" borderId="0" xfId="1" applyFont="1" applyAlignment="1">
      <alignment horizontal="center" vertical="center" wrapText="1"/>
    </xf>
    <xf numFmtId="0" fontId="1" fillId="0" borderId="4" xfId="1" applyBorder="1"/>
    <xf numFmtId="0" fontId="1" fillId="0" borderId="0" xfId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2" fillId="0" borderId="8" xfId="1" applyFont="1" applyBorder="1" applyAlignment="1">
      <alignment horizontal="center" vertical="center" wrapText="1"/>
    </xf>
    <xf numFmtId="0" fontId="1" fillId="0" borderId="9" xfId="1" applyBorder="1"/>
    <xf numFmtId="0" fontId="1" fillId="0" borderId="10" xfId="1" applyBorder="1"/>
    <xf numFmtId="0" fontId="3" fillId="2" borderId="8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left" vertical="top" wrapText="1"/>
    </xf>
    <xf numFmtId="0" fontId="2" fillId="3" borderId="12" xfId="1" applyFont="1" applyFill="1" applyBorder="1" applyAlignment="1">
      <alignment horizontal="left" vertical="top" wrapText="1"/>
    </xf>
    <xf numFmtId="0" fontId="2" fillId="3" borderId="13" xfId="1" quotePrefix="1" applyFont="1" applyFill="1" applyBorder="1" applyAlignment="1">
      <alignment horizontal="left" vertical="top" wrapText="1"/>
    </xf>
    <xf numFmtId="0" fontId="2" fillId="3" borderId="14" xfId="1" applyFont="1" applyFill="1" applyBorder="1" applyAlignment="1">
      <alignment horizontal="left" vertical="top" wrapText="1"/>
    </xf>
    <xf numFmtId="0" fontId="2" fillId="3" borderId="0" xfId="1" applyFont="1" applyFill="1" applyAlignment="1">
      <alignment horizontal="left" vertical="top" wrapText="1"/>
    </xf>
    <xf numFmtId="0" fontId="2" fillId="3" borderId="15" xfId="1" quotePrefix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center" wrapText="1"/>
    </xf>
    <xf numFmtId="0" fontId="2" fillId="3" borderId="14" xfId="1" quotePrefix="1" applyFont="1" applyFill="1" applyBorder="1" applyAlignment="1">
      <alignment horizontal="left" vertical="top" wrapText="1"/>
    </xf>
    <xf numFmtId="0" fontId="2" fillId="3" borderId="0" xfId="1" quotePrefix="1" applyFont="1" applyFill="1" applyAlignment="1">
      <alignment horizontal="left" vertical="top" wrapText="1"/>
    </xf>
    <xf numFmtId="0" fontId="2" fillId="3" borderId="15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center" wrapText="1"/>
    </xf>
    <xf numFmtId="9" fontId="3" fillId="5" borderId="8" xfId="1" applyNumberFormat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right" vertical="center"/>
    </xf>
    <xf numFmtId="0" fontId="5" fillId="0" borderId="16" xfId="1" applyFont="1" applyBorder="1"/>
    <xf numFmtId="0" fontId="5" fillId="0" borderId="17" xfId="1" applyFont="1" applyBorder="1"/>
    <xf numFmtId="0" fontId="6" fillId="5" borderId="18" xfId="1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right" vertical="center"/>
    </xf>
    <xf numFmtId="0" fontId="3" fillId="5" borderId="8" xfId="1" applyFont="1" applyFill="1" applyBorder="1" applyAlignment="1">
      <alignment horizontal="center" vertical="center" wrapText="1"/>
    </xf>
    <xf numFmtId="0" fontId="4" fillId="6" borderId="18" xfId="1" applyFont="1" applyFill="1" applyBorder="1" applyAlignment="1">
      <alignment horizontal="center" vertical="center" wrapText="1"/>
    </xf>
    <xf numFmtId="0" fontId="7" fillId="6" borderId="16" xfId="1" applyFont="1" applyFill="1" applyBorder="1" applyAlignment="1">
      <alignment horizontal="right" vertical="center" wrapText="1"/>
    </xf>
    <xf numFmtId="0" fontId="7" fillId="6" borderId="17" xfId="1" applyFont="1" applyFill="1" applyBorder="1" applyAlignment="1">
      <alignment horizontal="right" vertical="center" wrapText="1"/>
    </xf>
    <xf numFmtId="0" fontId="7" fillId="6" borderId="19" xfId="1" applyFont="1" applyFill="1" applyBorder="1" applyAlignment="1">
      <alignment horizontal="right" vertical="center" wrapText="1"/>
    </xf>
    <xf numFmtId="0" fontId="4" fillId="6" borderId="18" xfId="1" applyFont="1" applyFill="1" applyBorder="1" applyAlignment="1">
      <alignment horizontal="right" vertical="center"/>
    </xf>
    <xf numFmtId="0" fontId="2" fillId="7" borderId="20" xfId="1" applyFont="1" applyFill="1" applyBorder="1"/>
    <xf numFmtId="0" fontId="2" fillId="7" borderId="8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right" vertical="center"/>
    </xf>
    <xf numFmtId="0" fontId="2" fillId="3" borderId="8" xfId="1" applyFont="1" applyFill="1" applyBorder="1" applyAlignment="1">
      <alignment horizontal="left" vertical="center" wrapText="1"/>
    </xf>
    <xf numFmtId="0" fontId="2" fillId="5" borderId="8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8" borderId="8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0" fontId="1" fillId="0" borderId="9" xfId="1" applyBorder="1" applyAlignment="1">
      <alignment horizontal="left"/>
    </xf>
    <xf numFmtId="0" fontId="1" fillId="0" borderId="10" xfId="1" applyBorder="1" applyAlignment="1">
      <alignment horizontal="left"/>
    </xf>
    <xf numFmtId="0" fontId="3" fillId="2" borderId="8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2" fillId="9" borderId="8" xfId="1" applyFont="1" applyFill="1" applyBorder="1" applyAlignment="1">
      <alignment horizontal="left" vertical="center" wrapText="1"/>
    </xf>
    <xf numFmtId="0" fontId="3" fillId="9" borderId="8" xfId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left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7" fillId="6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A45D3EAD-FC39-438F-864B-343F7097E8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FF\Downloads\Equipo%20Jhenif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vid\Desktop\Tally%202026\Evaluacion%20de%20Desempen&#771;o\EVADES%20%202026%20-2\V&#237;nculoExternoRecuperado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vid\Desktop\Tally%202026\Evaluacion%20de%20Desempen&#771;o\EVADES%20%202026%20-2\V&#237;nculoExternoRecuperado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OS GALAN CIELO ARACELI "/>
      <sheetName val="REYNA LEON MARIA FERNANDA "/>
      <sheetName val="CABANILLAS QUIÑONES LUIS FER..."/>
      <sheetName val="ANAYA SOLORZANO ANGELLO GUIS..."/>
      <sheetName val="RUCANA TINEO LOURDES REGINA"/>
      <sheetName val="CASTAÑEDA VALVERDE ELIZABETH..."/>
      <sheetName val="MARTINEZ RAMOS RONALD MARCELO"/>
      <sheetName val="CHANGANAQUI QUISPE SANDRA YA..."/>
      <sheetName val="REYES BELLO SHARON YOLANDA"/>
      <sheetName val="VASQUEZ MORA SHAUNNY MILAGROS"/>
      <sheetName val="APARCANA CORZO LEYDI ESMERALDA"/>
      <sheetName val="MELGAREJO WU NAYELI PATRICIA"/>
      <sheetName val="SANCHEZ ROJAS LETICIA YANELA"/>
      <sheetName val="PAJUELO RAMIREZ JHON"/>
      <sheetName val="PALACIOS FUENTES  FRANK"/>
      <sheetName val="HUANCA OLORTEGUI CAROLAY CEL..."/>
      <sheetName val="MENA VALDERRAMA GIANELA MILA..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erencia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ínculoExternoRecuperado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7034-2DBF-46F6-9725-E6A817C01589}">
  <sheetPr>
    <tabColor rgb="FFFFC000"/>
    <pageSetUpPr fitToPage="1"/>
  </sheetPr>
  <dimension ref="A1:J48"/>
  <sheetViews>
    <sheetView showGridLines="0" tabSelected="1" topLeftCell="A13" workbookViewId="0">
      <selection activeCell="A41" sqref="A41:J41"/>
    </sheetView>
  </sheetViews>
  <sheetFormatPr baseColWidth="10" defaultColWidth="8.85546875" defaultRowHeight="15" x14ac:dyDescent="0.25"/>
  <cols>
    <col min="1" max="1" width="8.85546875" style="1"/>
    <col min="2" max="2" width="28" style="1" customWidth="1"/>
    <col min="3" max="3" width="8.85546875" style="1"/>
    <col min="4" max="5" width="12.140625" style="1" customWidth="1"/>
    <col min="6" max="6" width="8.85546875" style="1"/>
    <col min="7" max="7" width="11.5703125" style="1" customWidth="1"/>
    <col min="8" max="8" width="13.5703125" style="1" customWidth="1"/>
    <col min="9" max="10" width="8.85546875" style="1"/>
    <col min="11" max="11" width="32.7109375" style="1" customWidth="1"/>
    <col min="12" max="12" width="46.28515625" style="1" bestFit="1" customWidth="1"/>
    <col min="13" max="13" width="11.42578125" style="1" bestFit="1" customWidth="1"/>
    <col min="14" max="16384" width="8.85546875" style="1"/>
  </cols>
  <sheetData>
    <row r="1" spans="1:10" ht="21.75" customHeight="1" x14ac:dyDescent="0.25">
      <c r="A1" s="55" t="s">
        <v>47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25">
      <c r="A3" s="25" t="s">
        <v>46</v>
      </c>
      <c r="B3" s="7"/>
      <c r="C3" s="7"/>
      <c r="D3" s="7"/>
      <c r="E3" s="7"/>
      <c r="F3" s="7"/>
      <c r="G3" s="7"/>
      <c r="H3" s="7"/>
      <c r="I3" s="7"/>
      <c r="J3" s="7"/>
    </row>
    <row r="4" spans="1:10" ht="38.25" x14ac:dyDescent="0.25">
      <c r="A4" s="53" t="s">
        <v>45</v>
      </c>
      <c r="B4" s="54"/>
      <c r="C4" s="13"/>
      <c r="D4" s="13"/>
      <c r="E4" s="13"/>
      <c r="F4" s="12"/>
      <c r="G4" s="53" t="s">
        <v>44</v>
      </c>
      <c r="H4" s="54"/>
      <c r="I4" s="13"/>
      <c r="J4" s="12"/>
    </row>
    <row r="5" spans="1:10" x14ac:dyDescent="0.25">
      <c r="A5" s="53" t="s">
        <v>43</v>
      </c>
      <c r="B5" s="54"/>
      <c r="C5" s="13"/>
      <c r="D5" s="13"/>
      <c r="E5" s="13"/>
      <c r="F5" s="12"/>
      <c r="G5" s="53" t="s">
        <v>42</v>
      </c>
      <c r="H5" s="54"/>
      <c r="I5" s="13"/>
      <c r="J5" s="12"/>
    </row>
    <row r="6" spans="1:10" ht="25.5" x14ac:dyDescent="0.25">
      <c r="A6" s="53" t="s">
        <v>41</v>
      </c>
      <c r="B6" s="54"/>
      <c r="C6" s="13"/>
      <c r="D6" s="13"/>
      <c r="E6" s="13"/>
      <c r="F6" s="12"/>
      <c r="G6" s="53" t="s">
        <v>40</v>
      </c>
      <c r="H6" s="52"/>
      <c r="I6" s="13"/>
      <c r="J6" s="12"/>
    </row>
    <row r="7" spans="1:10" ht="25.5" x14ac:dyDescent="0.25">
      <c r="A7" s="53" t="s">
        <v>39</v>
      </c>
      <c r="B7" s="54"/>
      <c r="C7" s="13"/>
      <c r="D7" s="13"/>
      <c r="E7" s="13"/>
      <c r="F7" s="12"/>
      <c r="G7" s="53" t="s">
        <v>38</v>
      </c>
      <c r="H7" s="52"/>
      <c r="I7" s="13"/>
      <c r="J7" s="12"/>
    </row>
    <row r="9" spans="1:10" x14ac:dyDescent="0.25">
      <c r="A9" s="25" t="s">
        <v>37</v>
      </c>
      <c r="B9" s="7"/>
      <c r="C9" s="7"/>
      <c r="D9" s="7"/>
      <c r="E9" s="7"/>
      <c r="F9" s="7"/>
      <c r="G9" s="7"/>
      <c r="H9" s="7"/>
      <c r="I9" s="7"/>
      <c r="J9" s="7"/>
    </row>
    <row r="10" spans="1:10" ht="25.5" x14ac:dyDescent="0.25">
      <c r="A10" s="48" t="s">
        <v>24</v>
      </c>
      <c r="B10" s="48" t="s">
        <v>36</v>
      </c>
      <c r="C10" s="48" t="s">
        <v>22</v>
      </c>
      <c r="D10" s="48" t="s">
        <v>35</v>
      </c>
      <c r="E10" s="48" t="s">
        <v>34</v>
      </c>
      <c r="F10" s="48" t="s">
        <v>19</v>
      </c>
      <c r="G10" s="48" t="s">
        <v>18</v>
      </c>
      <c r="H10" s="14" t="s">
        <v>33</v>
      </c>
      <c r="I10" s="13"/>
      <c r="J10" s="12"/>
    </row>
    <row r="11" spans="1:10" x14ac:dyDescent="0.25">
      <c r="A11" s="51">
        <v>2</v>
      </c>
      <c r="B11" s="50" t="s">
        <v>32</v>
      </c>
      <c r="C11" s="43">
        <v>6</v>
      </c>
      <c r="D11" s="43"/>
      <c r="E11" s="43"/>
      <c r="F11" s="43"/>
      <c r="G11" s="42" t="str">
        <f>IFERROR(IF(F11=2,"Insatisfactorio",IF(F11=4,"Bajo",IF(F11=6,"Aceptable",IF(F11=8,"Bueno",IF(F11=10,"Excelente",""))))),"")</f>
        <v/>
      </c>
      <c r="H11" s="41"/>
      <c r="I11" s="13"/>
      <c r="J11" s="12"/>
    </row>
    <row r="12" spans="1:10" ht="39.75" customHeight="1" x14ac:dyDescent="0.25">
      <c r="A12" s="51">
        <v>3</v>
      </c>
      <c r="B12" s="50" t="s">
        <v>31</v>
      </c>
      <c r="C12" s="43">
        <v>6</v>
      </c>
      <c r="D12" s="43"/>
      <c r="E12" s="43"/>
      <c r="F12" s="43"/>
      <c r="G12" s="42" t="str">
        <f>IFERROR(IF(F12=2,"Insatisfactorio",IF(F12=4,"Bajo",IF(F12=6,"Aceptable",IF(F12=8,"Bueno",IF(F12=10,"Excelente",""))))),"")</f>
        <v/>
      </c>
      <c r="H12" s="41"/>
      <c r="I12" s="13"/>
      <c r="J12" s="12"/>
    </row>
    <row r="13" spans="1:10" x14ac:dyDescent="0.25">
      <c r="A13" s="51">
        <v>4</v>
      </c>
      <c r="B13" s="50" t="s">
        <v>30</v>
      </c>
      <c r="C13" s="43">
        <v>6</v>
      </c>
      <c r="D13" s="43"/>
      <c r="E13" s="43"/>
      <c r="F13" s="43"/>
      <c r="G13" s="42" t="str">
        <f>IFERROR(IF(F13=2,"Insatisfactorio",IF(F13=4,"Bajo",IF(F13=6,"Aceptable",IF(F13=8,"Bueno",IF(F13=10,"Excelente",""))))),"")</f>
        <v/>
      </c>
      <c r="H13" s="41"/>
      <c r="I13" s="47"/>
      <c r="J13" s="46"/>
    </row>
    <row r="14" spans="1:10" x14ac:dyDescent="0.25">
      <c r="A14" s="51">
        <v>5</v>
      </c>
      <c r="B14" s="50" t="s">
        <v>29</v>
      </c>
      <c r="C14" s="43">
        <v>6</v>
      </c>
      <c r="D14" s="43"/>
      <c r="E14" s="43"/>
      <c r="F14" s="43"/>
      <c r="G14" s="42" t="str">
        <f>IFERROR(IF(F14=2,"Insatisfactorio",IF(F14=4,"Bajo",IF(F14=6,"Aceptable",IF(F14=8,"Bueno",IF(F14=10,"Excelente",""))))),"")</f>
        <v/>
      </c>
      <c r="H14" s="41"/>
      <c r="I14" s="13"/>
      <c r="J14" s="12"/>
    </row>
    <row r="15" spans="1:10" ht="39" customHeight="1" x14ac:dyDescent="0.25">
      <c r="A15" s="51">
        <v>9</v>
      </c>
      <c r="B15" s="50" t="s">
        <v>28</v>
      </c>
      <c r="C15" s="43">
        <v>6</v>
      </c>
      <c r="D15" s="43"/>
      <c r="E15" s="43"/>
      <c r="F15" s="43"/>
      <c r="G15" s="42" t="str">
        <f>IFERROR(IF(F15=2,"Insatisfactorio",IF(F15=4,"Bajo",IF(F15=6,"Aceptable",IF(F15=8,"Bueno",IF(F15=10,"Excelente",""))))),"")</f>
        <v/>
      </c>
      <c r="H15" s="41"/>
      <c r="I15" s="13"/>
      <c r="J15" s="12"/>
    </row>
    <row r="16" spans="1:10" x14ac:dyDescent="0.25">
      <c r="B16" s="40" t="s">
        <v>27</v>
      </c>
      <c r="C16" s="49">
        <f>SUM(C11:C15)</f>
        <v>30</v>
      </c>
      <c r="D16" s="49"/>
      <c r="E16" s="49"/>
      <c r="F16" s="49"/>
      <c r="G16" s="39" t="s">
        <v>26</v>
      </c>
      <c r="H16" s="38"/>
      <c r="I16" s="13"/>
      <c r="J16" s="13"/>
    </row>
    <row r="18" spans="1:10" x14ac:dyDescent="0.25">
      <c r="A18" s="25" t="s">
        <v>25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25.5" x14ac:dyDescent="0.25">
      <c r="A19" s="48" t="s">
        <v>24</v>
      </c>
      <c r="B19" s="48" t="s">
        <v>23</v>
      </c>
      <c r="C19" s="48" t="s">
        <v>22</v>
      </c>
      <c r="D19" s="48" t="s">
        <v>21</v>
      </c>
      <c r="E19" s="48" t="s">
        <v>20</v>
      </c>
      <c r="F19" s="48" t="s">
        <v>19</v>
      </c>
      <c r="G19" s="48" t="s">
        <v>18</v>
      </c>
      <c r="H19" s="14" t="s">
        <v>17</v>
      </c>
      <c r="I19" s="13"/>
      <c r="J19" s="12"/>
    </row>
    <row r="20" spans="1:10" ht="38.25" x14ac:dyDescent="0.25">
      <c r="A20" s="45">
        <v>1</v>
      </c>
      <c r="B20" s="44" t="s">
        <v>16</v>
      </c>
      <c r="C20" s="43">
        <v>6</v>
      </c>
      <c r="D20" s="43"/>
      <c r="E20" s="43"/>
      <c r="F20" s="43"/>
      <c r="G20" s="42" t="str">
        <f>IFERROR(IF(F20=2,"Insatisfactorio",IF(F20=4,"Bajo",IF(F20=6,"Aceptable",IF(F20=8,"Bueno",IF(F20=10,"Excelente",""))))),"")</f>
        <v/>
      </c>
      <c r="H20" s="41"/>
      <c r="I20" s="13"/>
      <c r="J20" s="12"/>
    </row>
    <row r="21" spans="1:10" ht="38.25" x14ac:dyDescent="0.25">
      <c r="A21" s="45">
        <v>6</v>
      </c>
      <c r="B21" s="44" t="s">
        <v>15</v>
      </c>
      <c r="C21" s="43">
        <v>6</v>
      </c>
      <c r="D21" s="43"/>
      <c r="E21" s="43"/>
      <c r="F21" s="43"/>
      <c r="G21" s="42" t="str">
        <f>IFERROR(IF(F21=2,"Insatisfactorio",IF(F21=4,"Bajo",IF(F21=6,"Aceptable",IF(F21=8,"Bueno",IF(F21=10,"Excelente",""))))),"")</f>
        <v/>
      </c>
      <c r="H21" s="41"/>
      <c r="I21" s="13"/>
      <c r="J21" s="12"/>
    </row>
    <row r="22" spans="1:10" ht="38.25" x14ac:dyDescent="0.25">
      <c r="A22" s="45">
        <v>7</v>
      </c>
      <c r="B22" s="44" t="s">
        <v>14</v>
      </c>
      <c r="C22" s="43">
        <v>6</v>
      </c>
      <c r="D22" s="43"/>
      <c r="E22" s="43"/>
      <c r="F22" s="43"/>
      <c r="G22" s="42" t="str">
        <f>IFERROR(IF(F22=2,"Insatisfactorio",IF(F22=4,"Bajo",IF(F22=6,"Aceptable",IF(F22=8,"Bueno",IF(F22=10,"Excelente",""))))),"")</f>
        <v/>
      </c>
      <c r="H22" s="41"/>
      <c r="I22" s="47"/>
      <c r="J22" s="46"/>
    </row>
    <row r="23" spans="1:10" ht="38.25" x14ac:dyDescent="0.25">
      <c r="A23" s="45">
        <v>8</v>
      </c>
      <c r="B23" s="44" t="s">
        <v>13</v>
      </c>
      <c r="C23" s="43">
        <v>6</v>
      </c>
      <c r="D23" s="43"/>
      <c r="E23" s="43"/>
      <c r="F23" s="43"/>
      <c r="G23" s="42" t="str">
        <f>IFERROR(IF(F23=2,"Insatisfactorio",IF(F23=4,"Bajo",IF(F23=6,"Aceptable",IF(F23=8,"Bueno",IF(F23=10,"Excelente",""))))),"")</f>
        <v/>
      </c>
      <c r="H23" s="41"/>
      <c r="I23" s="13"/>
      <c r="J23" s="12"/>
    </row>
    <row r="24" spans="1:10" ht="38.25" x14ac:dyDescent="0.25">
      <c r="A24" s="45">
        <v>10</v>
      </c>
      <c r="B24" s="44" t="s">
        <v>12</v>
      </c>
      <c r="C24" s="43">
        <v>6</v>
      </c>
      <c r="D24" s="43"/>
      <c r="E24" s="43"/>
      <c r="F24" s="43"/>
      <c r="G24" s="42" t="str">
        <f>IFERROR(IF(F24=2,"Insatisfactorio",IF(F24=4,"Bajo",IF(F24=6,"Aceptable",IF(F24=8,"Bueno",IF(F24=10,"Excelente",""))))),"")</f>
        <v/>
      </c>
      <c r="H24" s="41"/>
      <c r="I24" s="13"/>
      <c r="J24" s="12"/>
    </row>
    <row r="25" spans="1:10" x14ac:dyDescent="0.25">
      <c r="B25" s="40" t="s">
        <v>11</v>
      </c>
      <c r="C25" s="39">
        <f>SUM(C20:C24)</f>
        <v>30</v>
      </c>
      <c r="D25" s="39"/>
      <c r="E25" s="39"/>
      <c r="F25" s="39"/>
      <c r="G25" s="39" t="str">
        <f>IFERROR(IF(F25=2,"Insatisfactorio",IF(F25=4,"Bajo",IF(F25=6,"Aceptable",IF(F25=8,"Bueno",IF(F25=10,"Excelente",""))))),"")</f>
        <v/>
      </c>
      <c r="H25" s="38"/>
      <c r="I25" s="13"/>
      <c r="J25" s="13"/>
    </row>
    <row r="27" spans="1:10" ht="21" thickBot="1" x14ac:dyDescent="0.3">
      <c r="B27" s="37" t="s">
        <v>10</v>
      </c>
      <c r="C27" s="36">
        <f>F16+F25</f>
        <v>0</v>
      </c>
      <c r="D27" s="35"/>
      <c r="E27" s="35"/>
      <c r="F27" s="34"/>
      <c r="G27" s="33" t="s">
        <v>9</v>
      </c>
      <c r="H27" s="27" t="s">
        <v>8</v>
      </c>
      <c r="I27" s="32"/>
      <c r="J27" s="12"/>
    </row>
    <row r="28" spans="1:10" ht="16.5" thickBot="1" x14ac:dyDescent="0.3">
      <c r="B28" s="31" t="s">
        <v>7</v>
      </c>
      <c r="C28" s="30" t="str">
        <f>IF(C27="","",IF(C27&lt;=54,"Debajo de lo esperado",IF(C27&lt;=70,"En lo esperado",IF(C27&lt;=80,"Sobre lo esperado","Sobresaliente"))))</f>
        <v>Debajo de lo esperado</v>
      </c>
      <c r="D28" s="29"/>
      <c r="E28" s="29"/>
      <c r="F28" s="29"/>
      <c r="G28" s="28"/>
      <c r="H28" s="27" t="s">
        <v>6</v>
      </c>
      <c r="I28" s="26"/>
      <c r="J28" s="12"/>
    </row>
    <row r="30" spans="1:10" x14ac:dyDescent="0.25">
      <c r="A30" s="25" t="s">
        <v>5</v>
      </c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25">
      <c r="A31" s="21" t="s">
        <v>4</v>
      </c>
      <c r="B31" s="13"/>
      <c r="C31" s="13"/>
      <c r="D31" s="13"/>
      <c r="E31" s="13"/>
      <c r="F31" s="13"/>
      <c r="G31" s="13"/>
      <c r="H31" s="13"/>
      <c r="I31" s="13"/>
      <c r="J31" s="12"/>
    </row>
    <row r="32" spans="1:10" x14ac:dyDescent="0.25">
      <c r="A32" s="20"/>
      <c r="B32" s="19"/>
      <c r="C32" s="19"/>
      <c r="D32" s="19"/>
      <c r="E32" s="19"/>
      <c r="F32" s="19"/>
      <c r="G32" s="19"/>
      <c r="H32" s="19"/>
      <c r="I32" s="19"/>
      <c r="J32" s="18"/>
    </row>
    <row r="33" spans="1:10" x14ac:dyDescent="0.25">
      <c r="A33" s="20"/>
      <c r="B33" s="19"/>
      <c r="C33" s="19"/>
      <c r="D33" s="19"/>
      <c r="E33" s="19"/>
      <c r="F33" s="19"/>
      <c r="G33" s="19"/>
      <c r="H33" s="19"/>
      <c r="I33" s="19"/>
      <c r="J33" s="18"/>
    </row>
    <row r="34" spans="1:10" ht="15" customHeight="1" x14ac:dyDescent="0.25">
      <c r="A34" s="20"/>
      <c r="B34" s="19"/>
      <c r="C34" s="19"/>
      <c r="D34" s="19"/>
      <c r="E34" s="19"/>
      <c r="F34" s="19"/>
      <c r="G34" s="19"/>
      <c r="H34" s="19"/>
      <c r="I34" s="19"/>
      <c r="J34" s="18"/>
    </row>
    <row r="35" spans="1:10" x14ac:dyDescent="0.25">
      <c r="A35" s="21" t="s">
        <v>3</v>
      </c>
      <c r="B35" s="13"/>
      <c r="C35" s="13"/>
      <c r="D35" s="13"/>
      <c r="E35" s="13"/>
      <c r="F35" s="13"/>
      <c r="G35" s="13"/>
      <c r="H35" s="13"/>
      <c r="I35" s="13"/>
      <c r="J35" s="12"/>
    </row>
    <row r="36" spans="1:10" ht="15" customHeight="1" x14ac:dyDescent="0.25">
      <c r="A36" s="24"/>
      <c r="B36" s="19"/>
      <c r="C36" s="19"/>
      <c r="D36" s="19"/>
      <c r="E36" s="19"/>
      <c r="F36" s="19"/>
      <c r="G36" s="19"/>
      <c r="H36" s="19"/>
      <c r="I36" s="19"/>
      <c r="J36" s="18"/>
    </row>
    <row r="37" spans="1:10" x14ac:dyDescent="0.25">
      <c r="A37" s="20"/>
      <c r="B37" s="23"/>
      <c r="C37" s="23"/>
      <c r="D37" s="23"/>
      <c r="E37" s="23"/>
      <c r="F37" s="23"/>
      <c r="G37" s="23"/>
      <c r="H37" s="23"/>
      <c r="I37" s="23"/>
      <c r="J37" s="22"/>
    </row>
    <row r="38" spans="1:10" ht="15" customHeight="1" x14ac:dyDescent="0.25">
      <c r="A38" s="20"/>
      <c r="B38" s="19"/>
      <c r="C38" s="19"/>
      <c r="D38" s="19"/>
      <c r="E38" s="19"/>
      <c r="F38" s="19"/>
      <c r="G38" s="19"/>
      <c r="H38" s="19"/>
      <c r="I38" s="19"/>
      <c r="J38" s="18"/>
    </row>
    <row r="39" spans="1:10" x14ac:dyDescent="0.25">
      <c r="A39" s="21" t="s">
        <v>2</v>
      </c>
      <c r="B39" s="13"/>
      <c r="C39" s="13"/>
      <c r="D39" s="13"/>
      <c r="E39" s="13"/>
      <c r="F39" s="13"/>
      <c r="G39" s="13"/>
      <c r="H39" s="13"/>
      <c r="I39" s="13"/>
      <c r="J39" s="12"/>
    </row>
    <row r="40" spans="1:10" ht="15" customHeight="1" x14ac:dyDescent="0.25">
      <c r="A40" s="20"/>
      <c r="B40" s="19"/>
      <c r="C40" s="19"/>
      <c r="D40" s="19"/>
      <c r="E40" s="19"/>
      <c r="F40" s="19"/>
      <c r="G40" s="19"/>
      <c r="H40" s="19"/>
      <c r="I40" s="19"/>
      <c r="J40" s="18"/>
    </row>
    <row r="41" spans="1:10" x14ac:dyDescent="0.25">
      <c r="A41" s="20"/>
      <c r="B41" s="19"/>
      <c r="C41" s="19"/>
      <c r="D41" s="19"/>
      <c r="E41" s="19"/>
      <c r="F41" s="19"/>
      <c r="G41" s="19"/>
      <c r="H41" s="19"/>
      <c r="I41" s="19"/>
      <c r="J41" s="18"/>
    </row>
    <row r="42" spans="1:10" x14ac:dyDescent="0.25">
      <c r="A42" s="20"/>
      <c r="B42" s="19"/>
      <c r="C42" s="19"/>
      <c r="D42" s="19"/>
      <c r="E42" s="19"/>
      <c r="F42" s="19"/>
      <c r="G42" s="19"/>
      <c r="H42" s="19"/>
      <c r="I42" s="19"/>
      <c r="J42" s="18"/>
    </row>
    <row r="43" spans="1:10" x14ac:dyDescent="0.25">
      <c r="A43" s="17"/>
      <c r="B43" s="16"/>
      <c r="C43" s="16"/>
      <c r="D43" s="16"/>
      <c r="E43" s="16"/>
      <c r="F43" s="16"/>
      <c r="G43" s="16"/>
      <c r="H43" s="16"/>
      <c r="I43" s="16"/>
      <c r="J43" s="15"/>
    </row>
    <row r="45" spans="1:10" x14ac:dyDescent="0.25">
      <c r="A45" s="14" t="s">
        <v>1</v>
      </c>
      <c r="B45" s="13"/>
      <c r="C45" s="12"/>
      <c r="D45" s="5"/>
      <c r="E45" s="5"/>
      <c r="F45" s="5"/>
      <c r="H45" s="14" t="s">
        <v>0</v>
      </c>
      <c r="I45" s="13"/>
      <c r="J45" s="12"/>
    </row>
    <row r="46" spans="1:10" x14ac:dyDescent="0.25">
      <c r="A46" s="11"/>
      <c r="B46" s="10"/>
      <c r="C46" s="9"/>
      <c r="D46" s="5"/>
      <c r="E46" s="5"/>
      <c r="F46" s="5"/>
      <c r="H46" s="11"/>
      <c r="I46" s="10"/>
      <c r="J46" s="9"/>
    </row>
    <row r="47" spans="1:10" x14ac:dyDescent="0.25">
      <c r="A47" s="8"/>
      <c r="B47" s="7"/>
      <c r="C47" s="6"/>
      <c r="D47" s="5"/>
      <c r="E47" s="5"/>
      <c r="F47" s="5"/>
      <c r="H47" s="8"/>
      <c r="I47" s="7"/>
      <c r="J47" s="6"/>
    </row>
    <row r="48" spans="1:10" x14ac:dyDescent="0.25">
      <c r="A48" s="4"/>
      <c r="B48" s="3"/>
      <c r="C48" s="2"/>
      <c r="D48" s="5"/>
      <c r="E48" s="5"/>
      <c r="F48" s="5"/>
      <c r="H48" s="4"/>
      <c r="I48" s="3"/>
      <c r="J48" s="2"/>
    </row>
  </sheetData>
  <mergeCells count="48">
    <mergeCell ref="H4:J4"/>
    <mergeCell ref="B5:F5"/>
    <mergeCell ref="H6:J6"/>
    <mergeCell ref="H7:J7"/>
    <mergeCell ref="A9:J9"/>
    <mergeCell ref="H11:J11"/>
    <mergeCell ref="H16:J16"/>
    <mergeCell ref="A1:J1"/>
    <mergeCell ref="B6:F6"/>
    <mergeCell ref="B4:F4"/>
    <mergeCell ref="B7:F7"/>
    <mergeCell ref="A3:J3"/>
    <mergeCell ref="A33:J33"/>
    <mergeCell ref="H14:J14"/>
    <mergeCell ref="H5:J5"/>
    <mergeCell ref="H23:J23"/>
    <mergeCell ref="H20:J20"/>
    <mergeCell ref="H10:J10"/>
    <mergeCell ref="H13:J13"/>
    <mergeCell ref="H12:J12"/>
    <mergeCell ref="H15:J15"/>
    <mergeCell ref="H21:J21"/>
    <mergeCell ref="C28:G28"/>
    <mergeCell ref="H25:J25"/>
    <mergeCell ref="H24:J24"/>
    <mergeCell ref="C27:F27"/>
    <mergeCell ref="I27:J27"/>
    <mergeCell ref="A32:J32"/>
    <mergeCell ref="A46:C48"/>
    <mergeCell ref="A31:J31"/>
    <mergeCell ref="H22:J22"/>
    <mergeCell ref="H19:J19"/>
    <mergeCell ref="A45:C45"/>
    <mergeCell ref="A18:J18"/>
    <mergeCell ref="A39:J39"/>
    <mergeCell ref="A36:J36"/>
    <mergeCell ref="A30:J30"/>
    <mergeCell ref="I28:J28"/>
    <mergeCell ref="A34:J34"/>
    <mergeCell ref="H46:J48"/>
    <mergeCell ref="A35:J35"/>
    <mergeCell ref="A40:J40"/>
    <mergeCell ref="A41:J41"/>
    <mergeCell ref="A42:J42"/>
    <mergeCell ref="A43:J43"/>
    <mergeCell ref="A37:J37"/>
    <mergeCell ref="A38:J38"/>
    <mergeCell ref="H45:J45"/>
  </mergeCells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E95D-CAC1-4548-9F68-28149A2A4BB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Jefferson Espinoza Osorio</dc:creator>
  <cp:lastModifiedBy>Andy Jefferson Espinoza Osorio</cp:lastModifiedBy>
  <dcterms:created xsi:type="dcterms:W3CDTF">2026-08-03T17:07:26Z</dcterms:created>
  <dcterms:modified xsi:type="dcterms:W3CDTF">2026-08-03T17:09:15Z</dcterms:modified>
</cp:coreProperties>
</file>